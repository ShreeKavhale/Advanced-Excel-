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0E59A1DE-D449-4570-A172-472FD8238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 1" sheetId="1" r:id="rId1"/>
    <sheet name="Sheet5" sheetId="7" r:id="rId2"/>
    <sheet name="Sheet1" sheetId="4" r:id="rId3"/>
    <sheet name="Sheet3" sheetId="5" r:id="rId4"/>
    <sheet name="Sheet2" sheetId="2" r:id="rId5"/>
    <sheet name="194" sheetId="3" r:id="rId6"/>
  </sheets>
  <definedNames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Sheet3!$H$9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E3" i="2"/>
  <c r="D3" i="2"/>
  <c r="L6" i="7"/>
  <c r="L7" i="7" s="1"/>
  <c r="L8" i="7" s="1"/>
  <c r="L9" i="7" s="1"/>
  <c r="L10" i="7" s="1"/>
  <c r="L11" i="7" s="1"/>
  <c r="L12" i="7" s="1"/>
  <c r="L13" i="7" s="1"/>
  <c r="L14" i="7" s="1"/>
  <c r="L15" i="7" s="1"/>
  <c r="L16" i="7" s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l="1"/>
  <c r="A23" i="2" s="1"/>
  <c r="A24" i="2" s="1"/>
  <c r="A25" i="2" s="1"/>
  <c r="A26" i="2" s="1"/>
  <c r="A27" i="2" s="1"/>
  <c r="A28" i="2" s="1"/>
  <c r="A29" i="2" s="1"/>
  <c r="A30" i="2" s="1"/>
  <c r="A31" i="2" s="1"/>
  <c r="A32" i="2" s="1"/>
</calcChain>
</file>

<file path=xl/sharedStrings.xml><?xml version="1.0" encoding="utf-8"?>
<sst xmlns="http://schemas.openxmlformats.org/spreadsheetml/2006/main" count="299" uniqueCount="112">
  <si>
    <t>States</t>
  </si>
  <si>
    <t>PCON</t>
  </si>
  <si>
    <t>UHM</t>
  </si>
  <si>
    <t>TAX</t>
  </si>
  <si>
    <t>REG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</si>
  <si>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</si>
  <si>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</si>
  <si>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</si>
  <si>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</si>
  <si>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</si>
  <si>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</si>
  <si>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</si>
  <si>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</si>
  <si>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</si>
  <si>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</si>
  <si>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</si>
  <si>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</si>
  <si>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</si>
  <si>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</si>
  <si>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</si>
  <si>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</si>
  <si>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</si>
  <si>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</si>
  <si>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</si>
  <si>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</si>
  <si>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</si>
  <si>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</si>
  <si>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</si>
  <si>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</si>
  <si>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</si>
  <si>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</si>
  <si>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</si>
  <si>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</si>
  <si>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</si>
  <si>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</si>
  <si>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</si>
  <si>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</si>
  <si>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</si>
  <si>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</si>
  <si>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</si>
  <si>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</si>
  <si>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</si>
  <si>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</si>
  <si>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</si>
  <si>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</si>
  <si>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</si>
  <si>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</si>
  <si>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</si>
  <si>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</si>
  <si>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</si>
  <si>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</si>
  <si>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</si>
  <si>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</si>
  <si>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</si>
  <si>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</si>
  <si>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Consumption and Income Data for 30 families (in U.S. Dollars)</t>
  </si>
  <si>
    <t>Consumption</t>
  </si>
  <si>
    <t>Income</t>
  </si>
  <si>
    <t xml:space="preserve"> </t>
  </si>
  <si>
    <t>Period</t>
  </si>
  <si>
    <t>Income (X)</t>
  </si>
  <si>
    <t>Savings (S)</t>
  </si>
  <si>
    <t>n</t>
  </si>
  <si>
    <t>petroleum consumption in the ith state</t>
  </si>
  <si>
    <t>motor vehicle registration in the ith state</t>
  </si>
  <si>
    <t>Urban Highway miles</t>
  </si>
  <si>
    <t>Tax rate</t>
  </si>
  <si>
    <t xml:space="preserve">hetroskedasticity </t>
  </si>
  <si>
    <t xml:space="preserve">types : </t>
  </si>
  <si>
    <t xml:space="preserve">pure and unpure </t>
  </si>
  <si>
    <t>Var(Ui)=C Xi 2(square)</t>
  </si>
  <si>
    <t xml:space="preserve">if there is no variance then it is going to cause a problem to error term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</si>
  <si>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</si>
  <si>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</si>
  <si>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</si>
  <si>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</si>
  <si>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</si>
  <si>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</si>
  <si>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</si>
  <si>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</si>
  <si>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</si>
  <si>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</si>
  <si>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</si>
  <si>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</si>
  <si>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</si>
  <si>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</si>
  <si>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</si>
  <si>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</si>
  <si>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</si>
  <si>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</si>
  <si>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</si>
  <si>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</si>
  <si>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</si>
  <si>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</si>
  <si>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</si>
  <si>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</si>
  <si>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</si>
  <si>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</si>
  <si>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</si>
  <si>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</si>
  <si>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</si>
  <si>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1st income group'</t>
  </si>
  <si>
    <t>2nd income group</t>
  </si>
  <si>
    <t>C/y</t>
  </si>
  <si>
    <t xml:space="preserve">1/y </t>
  </si>
  <si>
    <t>C=1421.28+0.7921Yd</t>
  </si>
  <si>
    <t xml:space="preserve">problem 1 </t>
  </si>
  <si>
    <t xml:space="preserve">PCON -Y </t>
  </si>
  <si>
    <t xml:space="preserve">TAX- X </t>
  </si>
  <si>
    <t xml:space="preserve">Problem 2 </t>
  </si>
  <si>
    <t xml:space="preserve">PCON - Y </t>
  </si>
  <si>
    <t xml:space="preserve">REG - 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</si>
</sst>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2" fillId="0" borderId="0" xfId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quotePrefix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0" fillId="2" borderId="0" xfId="0" applyFill="1" applyBorder="1" applyAlignment="1"/>
    <xf numFmtId="0" fontId="3" fillId="0" borderId="0" xfId="0" applyFont="1" applyFill="1" applyBorder="1" applyAlignment="1">
      <alignment horizontal="center"/>
    </xf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141640754537737"/>
          <c:y val="0.30139835272982723"/>
          <c:w val="0.73163341235439427"/>
          <c:h val="0.522250716880927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'Eg 1'!$I$9:$I$58</c:f>
              <c:numCache>
                <c:formatCode>General</c:formatCode>
                <c:ptCount val="50"/>
                <c:pt idx="0">
                  <c:v>9</c:v>
                </c:pt>
                <c:pt idx="1">
                  <c:v>14</c:v>
                </c:pt>
                <c:pt idx="2">
                  <c:v>11</c:v>
                </c:pt>
                <c:pt idx="3">
                  <c:v>9.9</c:v>
                </c:pt>
                <c:pt idx="4">
                  <c:v>13</c:v>
                </c:pt>
                <c:pt idx="5">
                  <c:v>11</c:v>
                </c:pt>
                <c:pt idx="6">
                  <c:v>8</c:v>
                </c:pt>
                <c:pt idx="7">
                  <c:v>8</c:v>
                </c:pt>
                <c:pt idx="8">
                  <c:v>11</c:v>
                </c:pt>
                <c:pt idx="9">
                  <c:v>11.7</c:v>
                </c:pt>
                <c:pt idx="10">
                  <c:v>11.1</c:v>
                </c:pt>
                <c:pt idx="11">
                  <c:v>7.5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7</c:v>
                </c:pt>
                <c:pt idx="17">
                  <c:v>8</c:v>
                </c:pt>
                <c:pt idx="18">
                  <c:v>13</c:v>
                </c:pt>
                <c:pt idx="19">
                  <c:v>13.9</c:v>
                </c:pt>
                <c:pt idx="20">
                  <c:v>8</c:v>
                </c:pt>
                <c:pt idx="21">
                  <c:v>11</c:v>
                </c:pt>
                <c:pt idx="22">
                  <c:v>13.5</c:v>
                </c:pt>
                <c:pt idx="23">
                  <c:v>11</c:v>
                </c:pt>
                <c:pt idx="24">
                  <c:v>10.5</c:v>
                </c:pt>
                <c:pt idx="25">
                  <c:v>12</c:v>
                </c:pt>
                <c:pt idx="26">
                  <c:v>13</c:v>
                </c:pt>
                <c:pt idx="27">
                  <c:v>7.5</c:v>
                </c:pt>
                <c:pt idx="28">
                  <c:v>8</c:v>
                </c:pt>
                <c:pt idx="29">
                  <c:v>10</c:v>
                </c:pt>
                <c:pt idx="30">
                  <c:v>9</c:v>
                </c:pt>
                <c:pt idx="31">
                  <c:v>11</c:v>
                </c:pt>
                <c:pt idx="32">
                  <c:v>9</c:v>
                </c:pt>
                <c:pt idx="33">
                  <c:v>9.5</c:v>
                </c:pt>
                <c:pt idx="34">
                  <c:v>8</c:v>
                </c:pt>
                <c:pt idx="35">
                  <c:v>6.58</c:v>
                </c:pt>
                <c:pt idx="36">
                  <c:v>5</c:v>
                </c:pt>
                <c:pt idx="37">
                  <c:v>9</c:v>
                </c:pt>
                <c:pt idx="38">
                  <c:v>7.5</c:v>
                </c:pt>
                <c:pt idx="39">
                  <c:v>8</c:v>
                </c:pt>
                <c:pt idx="40">
                  <c:v>9</c:v>
                </c:pt>
                <c:pt idx="41">
                  <c:v>11</c:v>
                </c:pt>
                <c:pt idx="42">
                  <c:v>10</c:v>
                </c:pt>
                <c:pt idx="43">
                  <c:v>11</c:v>
                </c:pt>
                <c:pt idx="44">
                  <c:v>12</c:v>
                </c:pt>
                <c:pt idx="45">
                  <c:v>12</c:v>
                </c:pt>
                <c:pt idx="46">
                  <c:v>8</c:v>
                </c:pt>
                <c:pt idx="47">
                  <c:v>9</c:v>
                </c:pt>
                <c:pt idx="48">
                  <c:v>8</c:v>
                </c:pt>
                <c:pt idx="49">
                  <c:v>8.5</c:v>
                </c:pt>
              </c:numCache>
            </c:numRef>
          </c:xVal>
          <c:yVal>
            <c:numRef>
              <c:f>'Eg 1'!$M$33:$M$82</c:f>
              <c:numCache>
                <c:formatCode>General</c:formatCode>
                <c:ptCount val="50"/>
                <c:pt idx="0">
                  <c:v>-463.21723801449161</c:v>
                </c:pt>
                <c:pt idx="1">
                  <c:v>-19.057225146480278</c:v>
                </c:pt>
                <c:pt idx="2">
                  <c:v>-438.35323286728703</c:v>
                </c:pt>
                <c:pt idx="3">
                  <c:v>194.3715643017506</c:v>
                </c:pt>
                <c:pt idx="4">
                  <c:v>-161.48922772008245</c:v>
                </c:pt>
                <c:pt idx="5">
                  <c:v>-46.353232867287034</c:v>
                </c:pt>
                <c:pt idx="6">
                  <c:v>967.35075941190621</c:v>
                </c:pt>
                <c:pt idx="7">
                  <c:v>377.35075941190621</c:v>
                </c:pt>
                <c:pt idx="8">
                  <c:v>703.64676713271297</c:v>
                </c:pt>
                <c:pt idx="9">
                  <c:v>791.54916893423456</c:v>
                </c:pt>
                <c:pt idx="10">
                  <c:v>165.48996739007316</c:v>
                </c:pt>
                <c:pt idx="11">
                  <c:v>287.13475812510512</c:v>
                </c:pt>
                <c:pt idx="12">
                  <c:v>500.51077227991755</c:v>
                </c:pt>
                <c:pt idx="13">
                  <c:v>200.51077227991755</c:v>
                </c:pt>
                <c:pt idx="14">
                  <c:v>243.51077227991755</c:v>
                </c:pt>
                <c:pt idx="15">
                  <c:v>111.51077227991755</c:v>
                </c:pt>
                <c:pt idx="16">
                  <c:v>-399.08124316169608</c:v>
                </c:pt>
                <c:pt idx="17">
                  <c:v>-715.64924058809379</c:v>
                </c:pt>
                <c:pt idx="18">
                  <c:v>-150.48922772008245</c:v>
                </c:pt>
                <c:pt idx="19">
                  <c:v>50.099574596159528</c:v>
                </c:pt>
                <c:pt idx="20">
                  <c:v>-502.64924058809379</c:v>
                </c:pt>
                <c:pt idx="21">
                  <c:v>-378.35323286728703</c:v>
                </c:pt>
                <c:pt idx="22">
                  <c:v>286.72677356671875</c:v>
                </c:pt>
                <c:pt idx="23">
                  <c:v>131.64676713271297</c:v>
                </c:pt>
                <c:pt idx="24">
                  <c:v>-363.56923415408824</c:v>
                </c:pt>
                <c:pt idx="25">
                  <c:v>264.07876970631514</c:v>
                </c:pt>
                <c:pt idx="26">
                  <c:v>60.510772279917546</c:v>
                </c:pt>
                <c:pt idx="27">
                  <c:v>-233.86524187489488</c:v>
                </c:pt>
                <c:pt idx="28">
                  <c:v>607.35075941190621</c:v>
                </c:pt>
                <c:pt idx="29">
                  <c:v>-180.78523544088921</c:v>
                </c:pt>
                <c:pt idx="30">
                  <c:v>-251.21723801449161</c:v>
                </c:pt>
                <c:pt idx="31">
                  <c:v>-39.353232867287034</c:v>
                </c:pt>
                <c:pt idx="32">
                  <c:v>-408.21723801449161</c:v>
                </c:pt>
                <c:pt idx="33">
                  <c:v>-374.00123672769041</c:v>
                </c:pt>
                <c:pt idx="34">
                  <c:v>565.35075941190621</c:v>
                </c:pt>
                <c:pt idx="35">
                  <c:v>-568.82268424260894</c:v>
                </c:pt>
                <c:pt idx="36">
                  <c:v>2365.0547516910992</c:v>
                </c:pt>
                <c:pt idx="37">
                  <c:v>-602.21723801449161</c:v>
                </c:pt>
                <c:pt idx="38">
                  <c:v>-805.86524187489488</c:v>
                </c:pt>
                <c:pt idx="39">
                  <c:v>-688.64924058809379</c:v>
                </c:pt>
                <c:pt idx="40">
                  <c:v>-410.21723801449161</c:v>
                </c:pt>
                <c:pt idx="41">
                  <c:v>-304.35323286728703</c:v>
                </c:pt>
                <c:pt idx="42">
                  <c:v>-323.78523544088921</c:v>
                </c:pt>
                <c:pt idx="43">
                  <c:v>-327.35323286728703</c:v>
                </c:pt>
                <c:pt idx="44">
                  <c:v>-244.92123029368486</c:v>
                </c:pt>
                <c:pt idx="45">
                  <c:v>184.07876970631514</c:v>
                </c:pt>
                <c:pt idx="46">
                  <c:v>-487.64924058809379</c:v>
                </c:pt>
                <c:pt idx="47">
                  <c:v>2106.7827619855084</c:v>
                </c:pt>
                <c:pt idx="48">
                  <c:v>-696.64924058809379</c:v>
                </c:pt>
                <c:pt idx="49">
                  <c:v>-578.4332393012927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9C-4EBE-948D-64714BCBA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56031"/>
        <c:axId val="663457471"/>
      </c:scatterChart>
      <c:valAx>
        <c:axId val="663456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3457471"/>
        <c:crosses val="autoZero"/>
        <c:crossBetween val="midCat"/>
      </c:valAx>
      <c:valAx>
        <c:axId val="663457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34560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359758940234243"/>
          <c:y val="0.29116165537457334"/>
          <c:w val="0.70677136706088284"/>
          <c:h val="0.5275088470622849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'Eg 1'!$V$8:$V$57</c:f>
              <c:numCache>
                <c:formatCode>General</c:formatCode>
                <c:ptCount val="50"/>
                <c:pt idx="0">
                  <c:v>743</c:v>
                </c:pt>
                <c:pt idx="1">
                  <c:v>774</c:v>
                </c:pt>
                <c:pt idx="2">
                  <c:v>351</c:v>
                </c:pt>
                <c:pt idx="3">
                  <c:v>3750</c:v>
                </c:pt>
                <c:pt idx="4">
                  <c:v>586</c:v>
                </c:pt>
                <c:pt idx="5">
                  <c:v>2258</c:v>
                </c:pt>
                <c:pt idx="6">
                  <c:v>8235</c:v>
                </c:pt>
                <c:pt idx="7">
                  <c:v>4917</c:v>
                </c:pt>
                <c:pt idx="8">
                  <c:v>6723</c:v>
                </c:pt>
                <c:pt idx="9">
                  <c:v>7636</c:v>
                </c:pt>
                <c:pt idx="10">
                  <c:v>3884</c:v>
                </c:pt>
                <c:pt idx="11">
                  <c:v>7242</c:v>
                </c:pt>
                <c:pt idx="12">
                  <c:v>6250</c:v>
                </c:pt>
                <c:pt idx="13">
                  <c:v>3162</c:v>
                </c:pt>
                <c:pt idx="14">
                  <c:v>3278</c:v>
                </c:pt>
                <c:pt idx="15">
                  <c:v>2346</c:v>
                </c:pt>
                <c:pt idx="16">
                  <c:v>3412</c:v>
                </c:pt>
                <c:pt idx="17">
                  <c:v>653</c:v>
                </c:pt>
                <c:pt idx="18">
                  <c:v>615</c:v>
                </c:pt>
                <c:pt idx="19">
                  <c:v>1215</c:v>
                </c:pt>
                <c:pt idx="20">
                  <c:v>2061</c:v>
                </c:pt>
                <c:pt idx="21">
                  <c:v>415</c:v>
                </c:pt>
                <c:pt idx="22">
                  <c:v>2893</c:v>
                </c:pt>
                <c:pt idx="23">
                  <c:v>3705</c:v>
                </c:pt>
                <c:pt idx="24">
                  <c:v>1142</c:v>
                </c:pt>
                <c:pt idx="25">
                  <c:v>4583</c:v>
                </c:pt>
                <c:pt idx="26">
                  <c:v>1975</c:v>
                </c:pt>
                <c:pt idx="27">
                  <c:v>3916</c:v>
                </c:pt>
                <c:pt idx="28">
                  <c:v>8335</c:v>
                </c:pt>
                <c:pt idx="29">
                  <c:v>2615</c:v>
                </c:pt>
                <c:pt idx="30">
                  <c:v>3381</c:v>
                </c:pt>
                <c:pt idx="31">
                  <c:v>3039</c:v>
                </c:pt>
                <c:pt idx="32">
                  <c:v>1593</c:v>
                </c:pt>
                <c:pt idx="33">
                  <c:v>1481</c:v>
                </c:pt>
                <c:pt idx="34">
                  <c:v>2800</c:v>
                </c:pt>
                <c:pt idx="35">
                  <c:v>2780</c:v>
                </c:pt>
                <c:pt idx="36">
                  <c:v>11388</c:v>
                </c:pt>
                <c:pt idx="37">
                  <c:v>758</c:v>
                </c:pt>
                <c:pt idx="38">
                  <c:v>873</c:v>
                </c:pt>
                <c:pt idx="39">
                  <c:v>508</c:v>
                </c:pt>
                <c:pt idx="40">
                  <c:v>2502</c:v>
                </c:pt>
                <c:pt idx="41">
                  <c:v>1193</c:v>
                </c:pt>
                <c:pt idx="42">
                  <c:v>2216</c:v>
                </c:pt>
                <c:pt idx="43">
                  <c:v>1038</c:v>
                </c:pt>
                <c:pt idx="44">
                  <c:v>710</c:v>
                </c:pt>
                <c:pt idx="45">
                  <c:v>3237</c:v>
                </c:pt>
                <c:pt idx="46">
                  <c:v>2075</c:v>
                </c:pt>
                <c:pt idx="47">
                  <c:v>17130</c:v>
                </c:pt>
                <c:pt idx="48">
                  <c:v>319</c:v>
                </c:pt>
                <c:pt idx="49">
                  <c:v>586</c:v>
                </c:pt>
              </c:numCache>
            </c:numRef>
          </c:xVal>
          <c:yVal>
            <c:numRef>
              <c:f>'Eg 1'!$AA$31:$AA$80</c:f>
              <c:numCache>
                <c:formatCode>General</c:formatCode>
                <c:ptCount val="50"/>
                <c:pt idx="0">
                  <c:v>142.98365034533771</c:v>
                </c:pt>
                <c:pt idx="1">
                  <c:v>-11.066278483138177</c:v>
                </c:pt>
                <c:pt idx="2">
                  <c:v>7.4859761763875099</c:v>
                </c:pt>
                <c:pt idx="3">
                  <c:v>107.1405539831776</c:v>
                </c:pt>
                <c:pt idx="4">
                  <c:v>1.6236124766510187</c:v>
                </c:pt>
                <c:pt idx="5">
                  <c:v>27.317773727887527</c:v>
                </c:pt>
                <c:pt idx="6">
                  <c:v>229.85246379884484</c:v>
                </c:pt>
                <c:pt idx="7">
                  <c:v>287.39000744023076</c:v>
                </c:pt>
                <c:pt idx="8">
                  <c:v>-94.067136567105763</c:v>
                </c:pt>
                <c:pt idx="9">
                  <c:v>-267.24729851544384</c:v>
                </c:pt>
                <c:pt idx="10">
                  <c:v>-90.010751275395592</c:v>
                </c:pt>
                <c:pt idx="11">
                  <c:v>-197.35465469546011</c:v>
                </c:pt>
                <c:pt idx="12">
                  <c:v>-441.75693218423203</c:v>
                </c:pt>
                <c:pt idx="13">
                  <c:v>-139.1059572702477</c:v>
                </c:pt>
                <c:pt idx="14">
                  <c:v>-118.74440062841552</c:v>
                </c:pt>
                <c:pt idx="15">
                  <c:v>-68.856217785205274</c:v>
                </c:pt>
                <c:pt idx="16">
                  <c:v>-76.895705886988708</c:v>
                </c:pt>
                <c:pt idx="17">
                  <c:v>26.547959847364439</c:v>
                </c:pt>
                <c:pt idx="18">
                  <c:v>6.9640016371090638</c:v>
                </c:pt>
                <c:pt idx="19">
                  <c:v>-16.131395043069205</c:v>
                </c:pt>
                <c:pt idx="20">
                  <c:v>-35.235904362120607</c:v>
                </c:pt>
                <c:pt idx="21">
                  <c:v>54.995800530501825</c:v>
                </c:pt>
                <c:pt idx="22">
                  <c:v>-59.608187758634472</c:v>
                </c:pt>
                <c:pt idx="23">
                  <c:v>-77.077291265809095</c:v>
                </c:pt>
                <c:pt idx="24">
                  <c:v>-12.884788446980849</c:v>
                </c:pt>
                <c:pt idx="25">
                  <c:v>-234.42688840780329</c:v>
                </c:pt>
                <c:pt idx="26">
                  <c:v>-47.452230837961679</c:v>
                </c:pt>
                <c:pt idx="27">
                  <c:v>-69.25583909833847</c:v>
                </c:pt>
                <c:pt idx="28">
                  <c:v>-149.66343564785143</c:v>
                </c:pt>
                <c:pt idx="29">
                  <c:v>-58.353987296818559</c:v>
                </c:pt>
                <c:pt idx="30">
                  <c:v>-159.84577705851279</c:v>
                </c:pt>
                <c:pt idx="31">
                  <c:v>-118.10140095081124</c:v>
                </c:pt>
                <c:pt idx="32">
                  <c:v>32.098505048418474</c:v>
                </c:pt>
                <c:pt idx="33">
                  <c:v>28.956312428718434</c:v>
                </c:pt>
                <c:pt idx="34">
                  <c:v>888.54159872679315</c:v>
                </c:pt>
                <c:pt idx="35">
                  <c:v>-73.555221383867547</c:v>
                </c:pt>
                <c:pt idx="36">
                  <c:v>1367.5161542445076</c:v>
                </c:pt>
                <c:pt idx="37">
                  <c:v>1.0562654283332336</c:v>
                </c:pt>
                <c:pt idx="38">
                  <c:v>-47.387018935367593</c:v>
                </c:pt>
                <c:pt idx="39">
                  <c:v>81.846014045074199</c:v>
                </c:pt>
                <c:pt idx="40">
                  <c:v>-147.30102092205163</c:v>
                </c:pt>
                <c:pt idx="41">
                  <c:v>-22.837897164796004</c:v>
                </c:pt>
                <c:pt idx="42">
                  <c:v>-123.4855485045</c:v>
                </c:pt>
                <c:pt idx="43">
                  <c:v>-15.588253022416609</c:v>
                </c:pt>
                <c:pt idx="44">
                  <c:v>12.423897162747494</c:v>
                </c:pt>
                <c:pt idx="45">
                  <c:v>-51.74288185527007</c:v>
                </c:pt>
                <c:pt idx="46">
                  <c:v>-22.968130284658059</c:v>
                </c:pt>
                <c:pt idx="47">
                  <c:v>-485.08679198479786</c:v>
                </c:pt>
                <c:pt idx="48">
                  <c:v>110.73106399933036</c:v>
                </c:pt>
                <c:pt idx="49">
                  <c:v>117.62361247665102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6-4467-B894-11A1F0C5B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867439"/>
        <c:axId val="252868399"/>
      </c:scatterChart>
      <c:valAx>
        <c:axId val="25286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2868399"/>
        <c:crosses val="autoZero"/>
        <c:crossBetween val="midCat"/>
      </c:valAx>
      <c:valAx>
        <c:axId val="252868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286743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Sheet5!$D$5:$D$16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14000</c:v>
                </c:pt>
                <c:pt idx="7">
                  <c:v>14000</c:v>
                </c:pt>
                <c:pt idx="8">
                  <c:v>14000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</c:numCache>
            </c:numRef>
          </c:xVal>
          <c:yVal>
            <c:numRef>
              <c:f>Sheet5!$D$45:$D$56</c:f>
              <c:numCache>
                <c:formatCode>General</c:formatCode>
                <c:ptCount val="12"/>
                <c:pt idx="0">
                  <c:v>-286.66666666666788</c:v>
                </c:pt>
                <c:pt idx="1">
                  <c:v>-86.666666666667879</c:v>
                </c:pt>
                <c:pt idx="2">
                  <c:v>213.33333333333212</c:v>
                </c:pt>
                <c:pt idx="3">
                  <c:v>-323.33333333333394</c:v>
                </c:pt>
                <c:pt idx="4">
                  <c:v>-23.33333333333394</c:v>
                </c:pt>
                <c:pt idx="5">
                  <c:v>376.66666666666606</c:v>
                </c:pt>
                <c:pt idx="6">
                  <c:v>-260</c:v>
                </c:pt>
                <c:pt idx="7">
                  <c:v>40</c:v>
                </c:pt>
                <c:pt idx="8">
                  <c:v>640</c:v>
                </c:pt>
                <c:pt idx="9">
                  <c:v>-396.66666666666606</c:v>
                </c:pt>
                <c:pt idx="10">
                  <c:v>-96.66666666666606</c:v>
                </c:pt>
                <c:pt idx="11">
                  <c:v>203.33333333333394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3D-4C19-A4D5-FE6A18787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031487"/>
        <c:axId val="651031967"/>
      </c:scatterChart>
      <c:valAx>
        <c:axId val="65103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1031967"/>
        <c:crosses val="autoZero"/>
        <c:crossBetween val="midCat"/>
      </c:valAx>
      <c:valAx>
        <c:axId val="651031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10314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Sheet5!$N$5:$N$16</c:f>
              <c:numCache>
                <c:formatCode>General</c:formatCode>
                <c:ptCount val="12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19000</c:v>
                </c:pt>
                <c:pt idx="4">
                  <c:v>19000</c:v>
                </c:pt>
                <c:pt idx="5">
                  <c:v>19000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</c:numCache>
            </c:numRef>
          </c:xVal>
          <c:yVal>
            <c:numRef>
              <c:f>Sheet5!$P$44:$P$55</c:f>
              <c:numCache>
                <c:formatCode>General</c:formatCode>
                <c:ptCount val="12"/>
                <c:pt idx="0">
                  <c:v>-746.66666666666788</c:v>
                </c:pt>
                <c:pt idx="1">
                  <c:v>-46.666666666667879</c:v>
                </c:pt>
                <c:pt idx="2">
                  <c:v>653.33333333333212</c:v>
                </c:pt>
                <c:pt idx="3">
                  <c:v>-593.33333333333576</c:v>
                </c:pt>
                <c:pt idx="4">
                  <c:v>6.6666666666642413</c:v>
                </c:pt>
                <c:pt idx="5">
                  <c:v>406.66666666666424</c:v>
                </c:pt>
                <c:pt idx="6">
                  <c:v>-340</c:v>
                </c:pt>
                <c:pt idx="7">
                  <c:v>260</c:v>
                </c:pt>
                <c:pt idx="8">
                  <c:v>860</c:v>
                </c:pt>
                <c:pt idx="9">
                  <c:v>-786.66666666666788</c:v>
                </c:pt>
                <c:pt idx="10">
                  <c:v>-186.66666666666788</c:v>
                </c:pt>
                <c:pt idx="11">
                  <c:v>513.33333333333212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3-471D-844A-D7F740D1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199007"/>
        <c:axId val="522195647"/>
      </c:scatterChart>
      <c:valAx>
        <c:axId val="52219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195647"/>
        <c:crosses val="autoZero"/>
        <c:crossBetween val="midCat"/>
      </c:valAx>
      <c:valAx>
        <c:axId val="522195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21990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Sheet2!$C$3:$C$32</c:f>
              <c:numCache>
                <c:formatCode>General</c:formatCode>
                <c:ptCount val="30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14000</c:v>
                </c:pt>
                <c:pt idx="7">
                  <c:v>14000</c:v>
                </c:pt>
                <c:pt idx="8">
                  <c:v>14000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17000</c:v>
                </c:pt>
                <c:pt idx="16">
                  <c:v>17000</c:v>
                </c:pt>
                <c:pt idx="17">
                  <c:v>17000</c:v>
                </c:pt>
                <c:pt idx="18">
                  <c:v>18000</c:v>
                </c:pt>
                <c:pt idx="19">
                  <c:v>18000</c:v>
                </c:pt>
                <c:pt idx="20">
                  <c:v>18000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21000</c:v>
                </c:pt>
                <c:pt idx="28">
                  <c:v>21000</c:v>
                </c:pt>
                <c:pt idx="29">
                  <c:v>21000</c:v>
                </c:pt>
              </c:numCache>
            </c:numRef>
          </c:xVal>
          <c:yVal>
            <c:numRef>
              <c:f>Sheet3!$C$25:$C$54</c:f>
              <c:numCache>
                <c:formatCode>General</c:formatCode>
                <c:ptCount val="30"/>
                <c:pt idx="0">
                  <c:v>-341.81818181818198</c:v>
                </c:pt>
                <c:pt idx="1">
                  <c:v>-141.81818181818198</c:v>
                </c:pt>
                <c:pt idx="2">
                  <c:v>158.18181818181802</c:v>
                </c:pt>
                <c:pt idx="3">
                  <c:v>-330.30303030303003</c:v>
                </c:pt>
                <c:pt idx="4">
                  <c:v>-30.303030303030027</c:v>
                </c:pt>
                <c:pt idx="5">
                  <c:v>369.69696969696997</c:v>
                </c:pt>
                <c:pt idx="6">
                  <c:v>-218.78787878787807</c:v>
                </c:pt>
                <c:pt idx="7">
                  <c:v>81.212121212121929</c:v>
                </c:pt>
                <c:pt idx="8">
                  <c:v>681.21212121212193</c:v>
                </c:pt>
                <c:pt idx="9">
                  <c:v>-307.27272727272793</c:v>
                </c:pt>
                <c:pt idx="10">
                  <c:v>-7.2727272727279342</c:v>
                </c:pt>
                <c:pt idx="11">
                  <c:v>292.72727272727207</c:v>
                </c:pt>
                <c:pt idx="12">
                  <c:v>-295.75757575757598</c:v>
                </c:pt>
                <c:pt idx="13">
                  <c:v>-95.757575757575978</c:v>
                </c:pt>
                <c:pt idx="14">
                  <c:v>104.24242424242402</c:v>
                </c:pt>
                <c:pt idx="15">
                  <c:v>-484.24242424242402</c:v>
                </c:pt>
                <c:pt idx="16">
                  <c:v>15.757575757575978</c:v>
                </c:pt>
                <c:pt idx="17">
                  <c:v>415.75757575757598</c:v>
                </c:pt>
                <c:pt idx="18">
                  <c:v>-672.72727272727207</c:v>
                </c:pt>
                <c:pt idx="19">
                  <c:v>27.272727272727934</c:v>
                </c:pt>
                <c:pt idx="20">
                  <c:v>727.27272727272793</c:v>
                </c:pt>
                <c:pt idx="21">
                  <c:v>-561.21212121212011</c:v>
                </c:pt>
                <c:pt idx="22">
                  <c:v>38.78787878787989</c:v>
                </c:pt>
                <c:pt idx="23">
                  <c:v>438.78787878787989</c:v>
                </c:pt>
                <c:pt idx="24">
                  <c:v>-349.69696969696815</c:v>
                </c:pt>
                <c:pt idx="25">
                  <c:v>250.30303030303185</c:v>
                </c:pt>
                <c:pt idx="26">
                  <c:v>850.30303030303185</c:v>
                </c:pt>
                <c:pt idx="27">
                  <c:v>-838.1818181818162</c:v>
                </c:pt>
                <c:pt idx="28">
                  <c:v>-238.1818181818162</c:v>
                </c:pt>
                <c:pt idx="29">
                  <c:v>461.8181818181838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68-4EB2-8DCC-8C3981CDC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314815"/>
        <c:axId val="253315295"/>
      </c:scatterChart>
      <c:valAx>
        <c:axId val="253314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3315295"/>
        <c:crosses val="autoZero"/>
        <c:crossBetween val="midCat"/>
      </c:valAx>
      <c:valAx>
        <c:axId val="2533152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33148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Sheet2!$E$3:$E$32</c:f>
              <c:numCache>
                <c:formatCode>General</c:formatCode>
                <c:ptCount val="30"/>
                <c:pt idx="0">
                  <c:v>8.3333333333333331E-5</c:v>
                </c:pt>
                <c:pt idx="1">
                  <c:v>8.3333333333333331E-5</c:v>
                </c:pt>
                <c:pt idx="2">
                  <c:v>8.3333333333333331E-5</c:v>
                </c:pt>
                <c:pt idx="3">
                  <c:v>7.6923076923076926E-5</c:v>
                </c:pt>
                <c:pt idx="4">
                  <c:v>7.6923076923076926E-5</c:v>
                </c:pt>
                <c:pt idx="5">
                  <c:v>7.6923076923076926E-5</c:v>
                </c:pt>
                <c:pt idx="6">
                  <c:v>7.1428571428571434E-5</c:v>
                </c:pt>
                <c:pt idx="7">
                  <c:v>7.1428571428571434E-5</c:v>
                </c:pt>
                <c:pt idx="8">
                  <c:v>7.1428571428571434E-5</c:v>
                </c:pt>
                <c:pt idx="9">
                  <c:v>6.666666666666667E-5</c:v>
                </c:pt>
                <c:pt idx="10">
                  <c:v>6.666666666666667E-5</c:v>
                </c:pt>
                <c:pt idx="11">
                  <c:v>6.666666666666667E-5</c:v>
                </c:pt>
                <c:pt idx="12">
                  <c:v>6.2500000000000001E-5</c:v>
                </c:pt>
                <c:pt idx="13">
                  <c:v>6.2500000000000001E-5</c:v>
                </c:pt>
                <c:pt idx="14">
                  <c:v>6.2500000000000001E-5</c:v>
                </c:pt>
                <c:pt idx="15">
                  <c:v>5.8823529411764708E-5</c:v>
                </c:pt>
                <c:pt idx="16">
                  <c:v>5.8823529411764708E-5</c:v>
                </c:pt>
                <c:pt idx="17">
                  <c:v>5.8823529411764708E-5</c:v>
                </c:pt>
                <c:pt idx="18">
                  <c:v>5.5555555555555558E-5</c:v>
                </c:pt>
                <c:pt idx="19">
                  <c:v>5.5555555555555558E-5</c:v>
                </c:pt>
                <c:pt idx="20">
                  <c:v>5.5555555555555558E-5</c:v>
                </c:pt>
                <c:pt idx="21">
                  <c:v>5.2631578947368424E-5</c:v>
                </c:pt>
                <c:pt idx="22">
                  <c:v>5.2631578947368424E-5</c:v>
                </c:pt>
                <c:pt idx="23">
                  <c:v>5.2631578947368424E-5</c:v>
                </c:pt>
                <c:pt idx="24">
                  <c:v>5.0000000000000002E-5</c:v>
                </c:pt>
                <c:pt idx="25">
                  <c:v>5.0000000000000002E-5</c:v>
                </c:pt>
                <c:pt idx="26">
                  <c:v>5.0000000000000002E-5</c:v>
                </c:pt>
                <c:pt idx="27">
                  <c:v>4.761904761904762E-5</c:v>
                </c:pt>
                <c:pt idx="28">
                  <c:v>4.761904761904762E-5</c:v>
                </c:pt>
                <c:pt idx="29">
                  <c:v>4.761904761904762E-5</c:v>
                </c:pt>
              </c:numCache>
            </c:numRef>
          </c:xVal>
          <c:yVal>
            <c:numRef>
              <c:f>Sheet2!$I$27:$I$56</c:f>
              <c:numCache>
                <c:formatCode>General</c:formatCode>
                <c:ptCount val="30"/>
                <c:pt idx="0">
                  <c:v>-2.7208414345554988E-2</c:v>
                </c:pt>
                <c:pt idx="1">
                  <c:v>-1.0541747678888269E-2</c:v>
                </c:pt>
                <c:pt idx="2">
                  <c:v>1.4458252321111753E-2</c:v>
                </c:pt>
                <c:pt idx="3">
                  <c:v>-2.4507914978789458E-2</c:v>
                </c:pt>
                <c:pt idx="4">
                  <c:v>-1.4309919018663519E-3</c:v>
                </c:pt>
                <c:pt idx="5">
                  <c:v>2.9338238867364419E-2</c:v>
                </c:pt>
                <c:pt idx="6">
                  <c:v>-1.5050344092990442E-2</c:v>
                </c:pt>
                <c:pt idx="7">
                  <c:v>6.3782273355810215E-3</c:v>
                </c:pt>
                <c:pt idx="8">
                  <c:v>4.9235370192723837E-2</c:v>
                </c:pt>
                <c:pt idx="9">
                  <c:v>-2.0187115991964544E-2</c:v>
                </c:pt>
                <c:pt idx="10">
                  <c:v>-1.87115991964526E-4</c:v>
                </c:pt>
                <c:pt idx="11">
                  <c:v>1.9812884008035381E-2</c:v>
                </c:pt>
                <c:pt idx="12">
                  <c:v>-1.8431791403566988E-2</c:v>
                </c:pt>
                <c:pt idx="13">
                  <c:v>-5.9317914035670327E-3</c:v>
                </c:pt>
                <c:pt idx="14">
                  <c:v>6.5682085964329229E-3</c:v>
                </c:pt>
                <c:pt idx="15">
                  <c:v>-2.8647681472627973E-2</c:v>
                </c:pt>
                <c:pt idx="16">
                  <c:v>7.6408323325438676E-4</c:v>
                </c:pt>
                <c:pt idx="17">
                  <c:v>2.4293494997960297E-2</c:v>
                </c:pt>
                <c:pt idx="18">
                  <c:v>-3.7728472645126576E-2</c:v>
                </c:pt>
                <c:pt idx="19">
                  <c:v>1.1604162437622856E-3</c:v>
                </c:pt>
                <c:pt idx="20">
                  <c:v>4.0049305132651147E-2</c:v>
                </c:pt>
                <c:pt idx="21">
                  <c:v>-3.006391737841474E-2</c:v>
                </c:pt>
                <c:pt idx="22">
                  <c:v>1.5150299900063002E-3</c:v>
                </c:pt>
                <c:pt idx="23">
                  <c:v>2.2567661568953623E-2</c:v>
                </c:pt>
                <c:pt idx="24">
                  <c:v>-1.8165817638374215E-2</c:v>
                </c:pt>
                <c:pt idx="25">
                  <c:v>1.1834182361625811E-2</c:v>
                </c:pt>
                <c:pt idx="26">
                  <c:v>4.1834182361625838E-2</c:v>
                </c:pt>
                <c:pt idx="27">
                  <c:v>-4.0734203587861395E-2</c:v>
                </c:pt>
                <c:pt idx="28">
                  <c:v>-1.2162775016432814E-2</c:v>
                </c:pt>
                <c:pt idx="29">
                  <c:v>2.1170558316900512E-2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46-4297-B7F3-4B5C6A5AE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76367"/>
        <c:axId val="519186271"/>
      </c:scatterChart>
      <c:valAx>
        <c:axId val="556576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9186271"/>
        <c:crosses val="autoZero"/>
        <c:crossBetween val="midCat"/>
      </c:valAx>
      <c:valAx>
        <c:axId val="5191862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65763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132906</xdr:colOff>
      <xdr:row>30</xdr:row>
      <xdr:rowOff>180044</xdr:rowOff>
    </xdr:from>
    <xdr:to>
      <xdr:col>20</xdr:col>
      <xdr:colOff>132906</xdr:colOff>
      <xdr:row>41</xdr:row>
      <xdr:rowOff>28176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112BB-3D40-52E5-28E3-8442556C1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382557</xdr:colOff>
      <xdr:row>7</xdr:row>
      <xdr:rowOff>20156</xdr:rowOff>
    </xdr:from>
    <xdr:to>
      <xdr:col>37</xdr:col>
      <xdr:colOff>382558</xdr:colOff>
      <xdr:row>17</xdr:row>
      <xdr:rowOff>20156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444D05-4CF5-F93D-1AA4-935D586D4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502919</xdr:colOff>
      <xdr:row>40</xdr:row>
      <xdr:rowOff>114300</xdr:rowOff>
    </xdr:from>
    <xdr:to>
      <xdr:col>12</xdr:col>
      <xdr:colOff>172356</xdr:colOff>
      <xdr:row>50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611C0-D43D-E55E-968A-E71BB9F40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518161</xdr:colOff>
      <xdr:row>39</xdr:row>
      <xdr:rowOff>152400</xdr:rowOff>
    </xdr:from>
    <xdr:to>
      <xdr:col>25</xdr:col>
      <xdr:colOff>217714</xdr:colOff>
      <xdr:row>49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02194-175F-5004-3421-2F9F8D765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20</xdr:col>
      <xdr:colOff>396240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A9F25-6918-F4C2-8ABC-9DCC816EC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160020</xdr:colOff>
      <xdr:row>1</xdr:row>
      <xdr:rowOff>83820</xdr:rowOff>
    </xdr:from>
    <xdr:to>
      <xdr:col>23</xdr:col>
      <xdr:colOff>231648</xdr:colOff>
      <xdr:row>14</xdr:row>
      <xdr:rowOff>48768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4D52A-C2AE-F41C-7359-D1262E03A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2"/>
  <sheetViews>
    <sheetView tabSelected="1" topLeftCell="Q1" zoomScale="93" zoomScaleNormal="110" workbookViewId="0">
      <selection activeCell="AN5" sqref="AN5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1</v>
      </c>
      <c r="I1" s="1" t="s">
        <v>63</v>
      </c>
      <c r="AE1" t="s">
        <v>70</v>
      </c>
    </row>
    <row r="2" spans="1:31" x14ac:dyDescent="0.3">
      <c r="A2" s="1" t="s">
        <v>5</v>
      </c>
      <c r="B2" s="1">
        <v>270</v>
      </c>
      <c r="C2" s="1">
        <v>2.2000000000000002</v>
      </c>
      <c r="D2" s="1">
        <v>9</v>
      </c>
      <c r="E2" s="1">
        <v>743</v>
      </c>
      <c r="H2" t="s">
        <v>4</v>
      </c>
      <c r="I2" t="s">
        <v>64</v>
      </c>
      <c r="AA2" t="s">
        <v>67</v>
      </c>
    </row>
    <row r="3" spans="1:31" x14ac:dyDescent="0.3">
      <c r="A3" s="1" t="s">
        <v>6</v>
      </c>
      <c r="B3" s="1">
        <v>122</v>
      </c>
      <c r="C3" s="1">
        <v>2.4</v>
      </c>
      <c r="D3" s="1">
        <v>14</v>
      </c>
      <c r="E3" s="1">
        <v>774</v>
      </c>
      <c r="H3" t="s">
        <v>2</v>
      </c>
      <c r="I3" t="s">
        <v>65</v>
      </c>
      <c r="AA3" t="s">
        <v>68</v>
      </c>
      <c r="AB3" t="s">
        <v>69</v>
      </c>
      <c r="AE3" t="s">
        <v>71</v>
      </c>
    </row>
    <row r="4" spans="1:31" x14ac:dyDescent="0.3">
      <c r="A4" s="1" t="s">
        <v>7</v>
      </c>
      <c r="B4" s="1">
        <v>58</v>
      </c>
      <c r="C4" s="1">
        <v>0.7</v>
      </c>
      <c r="D4" s="1">
        <v>11</v>
      </c>
      <c r="E4" s="1">
        <v>351</v>
      </c>
      <c r="G4" s="6"/>
      <c r="H4" t="s">
        <v>3</v>
      </c>
      <c r="I4" t="s">
        <v>66</v>
      </c>
    </row>
    <row r="5" spans="1:31" x14ac:dyDescent="0.3">
      <c r="A5" s="1" t="s">
        <v>8</v>
      </c>
      <c r="B5" s="1">
        <v>821</v>
      </c>
      <c r="C5" s="1">
        <v>20.6</v>
      </c>
      <c r="D5" s="1">
        <v>9.9</v>
      </c>
      <c r="E5" s="1">
        <v>3750</v>
      </c>
    </row>
    <row r="6" spans="1:31" x14ac:dyDescent="0.3">
      <c r="A6" s="1" t="s">
        <v>9</v>
      </c>
      <c r="B6" s="1">
        <v>98</v>
      </c>
      <c r="C6" s="1">
        <v>3.6</v>
      </c>
      <c r="D6" s="1">
        <v>13</v>
      </c>
      <c r="E6" s="1">
        <v>586</v>
      </c>
      <c r="U6" s="13" t="s">
        <v>109</v>
      </c>
      <c r="V6" s="13"/>
    </row>
    <row r="7" spans="1:31" x14ac:dyDescent="0.3">
      <c r="A7" s="1" t="s">
        <v>10</v>
      </c>
      <c r="B7" s="1">
        <v>450</v>
      </c>
      <c r="C7" s="1">
        <v>10.1</v>
      </c>
      <c r="D7" s="1">
        <v>11</v>
      </c>
      <c r="E7" s="1">
        <v>2258</v>
      </c>
      <c r="H7" s="13" t="s">
        <v>106</v>
      </c>
      <c r="I7" s="13"/>
      <c r="U7" t="s">
        <v>110</v>
      </c>
      <c r="V7" t="s">
        <v>111</v>
      </c>
      <c r="Y7" t="s">
        <v>72</v>
      </c>
    </row>
    <row r="8" spans="1:31" ht="15" thickBot="1" x14ac:dyDescent="0.35">
      <c r="A8" s="1" t="s">
        <v>11</v>
      </c>
      <c r="B8" s="1">
        <v>1819</v>
      </c>
      <c r="C8" s="1">
        <v>36.4</v>
      </c>
      <c r="D8" s="1">
        <v>8</v>
      </c>
      <c r="E8" s="1">
        <v>8235</v>
      </c>
      <c r="H8" t="s">
        <v>107</v>
      </c>
      <c r="I8" t="s">
        <v>108</v>
      </c>
      <c r="U8">
        <v>270</v>
      </c>
      <c r="V8" s="1">
        <v>743</v>
      </c>
    </row>
    <row r="9" spans="1:31" x14ac:dyDescent="0.3">
      <c r="A9" s="1" t="s">
        <v>12</v>
      </c>
      <c r="B9" s="1">
        <v>1229</v>
      </c>
      <c r="C9" s="1">
        <v>22.2</v>
      </c>
      <c r="D9" s="1">
        <v>8</v>
      </c>
      <c r="E9" s="1">
        <v>4917</v>
      </c>
      <c r="H9">
        <v>270</v>
      </c>
      <c r="I9" s="1">
        <v>9</v>
      </c>
      <c r="K9" t="s">
        <v>72</v>
      </c>
      <c r="U9">
        <v>122</v>
      </c>
      <c r="V9" s="1">
        <v>774</v>
      </c>
      <c r="Y9" s="10" t="s">
        <v>73</v>
      </c>
      <c r="Z9" s="10"/>
    </row>
    <row r="10" spans="1:31" ht="15" thickBot="1" x14ac:dyDescent="0.35">
      <c r="A10" s="1" t="s">
        <v>13</v>
      </c>
      <c r="B10" s="1">
        <v>1200</v>
      </c>
      <c r="C10" s="1">
        <v>27.9</v>
      </c>
      <c r="D10" s="1">
        <v>11</v>
      </c>
      <c r="E10" s="1">
        <v>6723</v>
      </c>
      <c r="H10">
        <v>122</v>
      </c>
      <c r="I10" s="1">
        <v>14</v>
      </c>
      <c r="U10">
        <v>58</v>
      </c>
      <c r="V10" s="1">
        <v>351</v>
      </c>
      <c r="Y10" s="7" t="s">
        <v>74</v>
      </c>
      <c r="Z10" s="7">
        <v>0.91522205064632778</v>
      </c>
    </row>
    <row r="11" spans="1:31" x14ac:dyDescent="0.3">
      <c r="A11" s="1" t="s">
        <v>14</v>
      </c>
      <c r="B11" s="1">
        <v>1205</v>
      </c>
      <c r="C11" s="1">
        <v>29.2</v>
      </c>
      <c r="D11" s="1">
        <v>11.7</v>
      </c>
      <c r="E11" s="1">
        <v>7636</v>
      </c>
      <c r="H11">
        <v>58</v>
      </c>
      <c r="I11" s="1">
        <v>11</v>
      </c>
      <c r="K11" s="10" t="s">
        <v>73</v>
      </c>
      <c r="L11" s="10"/>
      <c r="U11">
        <v>821</v>
      </c>
      <c r="V11" s="1">
        <v>3750</v>
      </c>
      <c r="Y11" s="7" t="s">
        <v>75</v>
      </c>
      <c r="Z11" s="7">
        <v>0.83763140198926933</v>
      </c>
    </row>
    <row r="12" spans="1:31" x14ac:dyDescent="0.3">
      <c r="A12" s="1" t="s">
        <v>15</v>
      </c>
      <c r="B12" s="1">
        <v>650</v>
      </c>
      <c r="C12" s="1">
        <v>17.600000000000001</v>
      </c>
      <c r="D12" s="1">
        <v>11.1</v>
      </c>
      <c r="E12" s="1">
        <v>3884</v>
      </c>
      <c r="H12">
        <v>821</v>
      </c>
      <c r="I12" s="1">
        <v>9.9</v>
      </c>
      <c r="K12" s="7" t="s">
        <v>74</v>
      </c>
      <c r="L12" s="7">
        <v>0.38614414799573799</v>
      </c>
      <c r="U12">
        <v>98</v>
      </c>
      <c r="V12" s="1">
        <v>586</v>
      </c>
      <c r="Y12" s="7" t="s">
        <v>76</v>
      </c>
      <c r="Z12" s="7">
        <v>0.83424872286404572</v>
      </c>
    </row>
    <row r="13" spans="1:31" x14ac:dyDescent="0.3">
      <c r="A13" s="1" t="s">
        <v>16</v>
      </c>
      <c r="B13" s="1">
        <v>1198</v>
      </c>
      <c r="C13" s="1">
        <v>30.3</v>
      </c>
      <c r="D13" s="1">
        <v>7.5</v>
      </c>
      <c r="E13" s="1">
        <v>7242</v>
      </c>
      <c r="H13">
        <v>98</v>
      </c>
      <c r="I13" s="1">
        <v>13</v>
      </c>
      <c r="K13" s="7" t="s">
        <v>75</v>
      </c>
      <c r="L13" s="7">
        <v>0.14910730303135442</v>
      </c>
      <c r="U13">
        <v>450</v>
      </c>
      <c r="V13" s="1">
        <v>2258</v>
      </c>
      <c r="Y13" s="7" t="s">
        <v>77</v>
      </c>
      <c r="Z13" s="7">
        <v>275.96060740166797</v>
      </c>
    </row>
    <row r="14" spans="1:31" ht="15" thickBot="1" x14ac:dyDescent="0.35">
      <c r="A14" s="1" t="s">
        <v>17</v>
      </c>
      <c r="B14" s="1">
        <v>760</v>
      </c>
      <c r="C14" s="1">
        <v>25.1</v>
      </c>
      <c r="D14" s="1">
        <v>13</v>
      </c>
      <c r="E14" s="1">
        <v>6250</v>
      </c>
      <c r="H14">
        <v>450</v>
      </c>
      <c r="I14" s="1">
        <v>11</v>
      </c>
      <c r="K14" s="7" t="s">
        <v>76</v>
      </c>
      <c r="L14" s="7">
        <v>0.13138037184450763</v>
      </c>
      <c r="U14">
        <v>1819</v>
      </c>
      <c r="V14" s="1">
        <v>8235</v>
      </c>
      <c r="Y14" s="8" t="s">
        <v>78</v>
      </c>
      <c r="Z14" s="8">
        <v>50</v>
      </c>
    </row>
    <row r="15" spans="1:31" x14ac:dyDescent="0.3">
      <c r="A15" s="1" t="s">
        <v>18</v>
      </c>
      <c r="B15" s="1">
        <v>460</v>
      </c>
      <c r="C15" s="1">
        <v>13.8</v>
      </c>
      <c r="D15" s="1">
        <v>13</v>
      </c>
      <c r="E15" s="1">
        <v>3162</v>
      </c>
      <c r="H15">
        <v>1819</v>
      </c>
      <c r="I15" s="1">
        <v>8</v>
      </c>
      <c r="K15" s="7" t="s">
        <v>77</v>
      </c>
      <c r="L15" s="7">
        <v>631.73286337893433</v>
      </c>
      <c r="U15">
        <v>1229</v>
      </c>
      <c r="V15" s="1">
        <v>4917</v>
      </c>
    </row>
    <row r="16" spans="1:31" ht="15" thickBot="1" x14ac:dyDescent="0.35">
      <c r="A16" s="1" t="s">
        <v>19</v>
      </c>
      <c r="B16" s="1">
        <v>503</v>
      </c>
      <c r="C16" s="1">
        <v>13</v>
      </c>
      <c r="D16" s="1">
        <v>13</v>
      </c>
      <c r="E16" s="1">
        <v>3278</v>
      </c>
      <c r="H16">
        <v>1229</v>
      </c>
      <c r="I16" s="1">
        <v>8</v>
      </c>
      <c r="K16" s="8" t="s">
        <v>78</v>
      </c>
      <c r="L16" s="8">
        <v>50</v>
      </c>
      <c r="U16">
        <v>1200</v>
      </c>
      <c r="V16" s="1">
        <v>6723</v>
      </c>
      <c r="Y16" t="s">
        <v>79</v>
      </c>
    </row>
    <row r="17" spans="1:33" x14ac:dyDescent="0.3">
      <c r="A17" s="1" t="s">
        <v>20</v>
      </c>
      <c r="B17" s="1">
        <v>371</v>
      </c>
      <c r="C17" s="1">
        <v>8.1</v>
      </c>
      <c r="D17" s="1">
        <v>13</v>
      </c>
      <c r="E17" s="1">
        <v>2346</v>
      </c>
      <c r="H17">
        <v>1200</v>
      </c>
      <c r="I17" s="1">
        <v>11</v>
      </c>
      <c r="U17">
        <v>1205</v>
      </c>
      <c r="V17" s="1">
        <v>7636</v>
      </c>
      <c r="Y17" s="9"/>
      <c r="Z17" s="9" t="s">
        <v>84</v>
      </c>
      <c r="AA17" s="9" t="s">
        <v>85</v>
      </c>
      <c r="AB17" s="9" t="s">
        <v>86</v>
      </c>
      <c r="AC17" s="9" t="s">
        <v>87</v>
      </c>
      <c r="AD17" s="9" t="s">
        <v>88</v>
      </c>
    </row>
    <row r="18" spans="1:33" ht="15" thickBot="1" x14ac:dyDescent="0.35">
      <c r="A18" s="1" t="s">
        <v>21</v>
      </c>
      <c r="B18" s="1">
        <v>571</v>
      </c>
      <c r="C18" s="1">
        <v>13.9</v>
      </c>
      <c r="D18" s="1">
        <v>7</v>
      </c>
      <c r="E18" s="1">
        <v>3412</v>
      </c>
      <c r="H18">
        <v>1205</v>
      </c>
      <c r="I18" s="1">
        <v>11.7</v>
      </c>
      <c r="K18" t="s">
        <v>79</v>
      </c>
      <c r="U18">
        <v>650</v>
      </c>
      <c r="V18" s="1">
        <v>3884</v>
      </c>
      <c r="Y18" s="7" t="s">
        <v>80</v>
      </c>
      <c r="Z18" s="7">
        <v>1</v>
      </c>
      <c r="AA18" s="7">
        <v>18857596.171800122</v>
      </c>
      <c r="AB18" s="7">
        <v>18857596.171800122</v>
      </c>
      <c r="AC18" s="7">
        <v>247.62366484699055</v>
      </c>
      <c r="AD18" s="7">
        <v>1.4057618789341667E-20</v>
      </c>
    </row>
    <row r="19" spans="1:33" x14ac:dyDescent="0.3">
      <c r="A19" s="1" t="s">
        <v>22</v>
      </c>
      <c r="B19" s="1">
        <v>136</v>
      </c>
      <c r="C19" s="1">
        <v>1.6</v>
      </c>
      <c r="D19" s="1">
        <v>8</v>
      </c>
      <c r="E19" s="1">
        <v>653</v>
      </c>
      <c r="H19">
        <v>650</v>
      </c>
      <c r="I19" s="1">
        <v>11.1</v>
      </c>
      <c r="K19" s="9"/>
      <c r="L19" s="9" t="s">
        <v>84</v>
      </c>
      <c r="M19" s="9" t="s">
        <v>85</v>
      </c>
      <c r="N19" s="9" t="s">
        <v>86</v>
      </c>
      <c r="O19" s="9" t="s">
        <v>87</v>
      </c>
      <c r="P19" s="9" t="s">
        <v>88</v>
      </c>
      <c r="U19">
        <v>1198</v>
      </c>
      <c r="V19" s="1">
        <v>7242</v>
      </c>
      <c r="Y19" s="7" t="s">
        <v>81</v>
      </c>
      <c r="Z19" s="7">
        <v>48</v>
      </c>
      <c r="AA19" s="7">
        <v>3655404.3281998802</v>
      </c>
      <c r="AB19" s="7">
        <v>76154.256837497509</v>
      </c>
      <c r="AC19" s="7"/>
      <c r="AD19" s="7"/>
    </row>
    <row r="20" spans="1:33" ht="15" thickBot="1" x14ac:dyDescent="0.35">
      <c r="A20" s="1" t="s">
        <v>23</v>
      </c>
      <c r="B20" s="1">
        <v>109</v>
      </c>
      <c r="C20" s="1">
        <v>1.6</v>
      </c>
      <c r="D20" s="1">
        <v>13</v>
      </c>
      <c r="E20" s="1">
        <v>615</v>
      </c>
      <c r="H20">
        <v>1198</v>
      </c>
      <c r="I20" s="1">
        <v>7.5</v>
      </c>
      <c r="K20" s="7" t="s">
        <v>80</v>
      </c>
      <c r="L20" s="7">
        <v>1</v>
      </c>
      <c r="M20" s="7">
        <v>3356852.7876985334</v>
      </c>
      <c r="N20" s="7">
        <v>3356852.7876985334</v>
      </c>
      <c r="O20" s="7">
        <v>8.4113432528011742</v>
      </c>
      <c r="P20" s="7">
        <v>5.610602585029237E-3</v>
      </c>
      <c r="U20">
        <v>760</v>
      </c>
      <c r="V20" s="1">
        <v>6250</v>
      </c>
      <c r="Y20" s="8" t="s">
        <v>82</v>
      </c>
      <c r="Z20" s="8">
        <v>49</v>
      </c>
      <c r="AA20" s="8">
        <v>22513000.5</v>
      </c>
      <c r="AB20" s="8"/>
      <c r="AC20" s="8"/>
      <c r="AD20" s="8"/>
    </row>
    <row r="21" spans="1:33" ht="15" thickBot="1" x14ac:dyDescent="0.35">
      <c r="A21" s="1" t="s">
        <v>24</v>
      </c>
      <c r="B21" s="1">
        <v>203</v>
      </c>
      <c r="C21" s="1">
        <v>4.3</v>
      </c>
      <c r="D21" s="1">
        <v>13.9</v>
      </c>
      <c r="E21" s="1">
        <v>1215</v>
      </c>
      <c r="H21">
        <v>760</v>
      </c>
      <c r="I21" s="1">
        <v>13</v>
      </c>
      <c r="K21" s="7" t="s">
        <v>81</v>
      </c>
      <c r="L21" s="7">
        <v>48</v>
      </c>
      <c r="M21" s="7">
        <v>19156147.712301467</v>
      </c>
      <c r="N21" s="7">
        <v>399086.41067294724</v>
      </c>
      <c r="O21" s="7"/>
      <c r="P21" s="7"/>
      <c r="U21">
        <v>460</v>
      </c>
      <c r="V21" s="1">
        <v>3162</v>
      </c>
    </row>
    <row r="22" spans="1:33" ht="15" thickBot="1" x14ac:dyDescent="0.35">
      <c r="A22" s="1" t="s">
        <v>25</v>
      </c>
      <c r="B22" s="1">
        <v>349</v>
      </c>
      <c r="C22" s="1">
        <v>8.4</v>
      </c>
      <c r="D22" s="1">
        <v>8</v>
      </c>
      <c r="E22" s="1">
        <v>2061</v>
      </c>
      <c r="H22">
        <v>460</v>
      </c>
      <c r="I22" s="1">
        <v>13</v>
      </c>
      <c r="K22" s="8" t="s">
        <v>82</v>
      </c>
      <c r="L22" s="8">
        <v>49</v>
      </c>
      <c r="M22" s="8">
        <v>22513000.5</v>
      </c>
      <c r="N22" s="8"/>
      <c r="O22" s="8"/>
      <c r="P22" s="8"/>
      <c r="U22">
        <v>503</v>
      </c>
      <c r="V22" s="1">
        <v>3278</v>
      </c>
      <c r="Y22" s="9"/>
      <c r="Z22" s="9" t="s">
        <v>89</v>
      </c>
      <c r="AA22" s="9" t="s">
        <v>77</v>
      </c>
      <c r="AB22" s="9" t="s">
        <v>90</v>
      </c>
      <c r="AC22" s="9" t="s">
        <v>91</v>
      </c>
      <c r="AD22" s="9" t="s">
        <v>92</v>
      </c>
      <c r="AE22" s="9" t="s">
        <v>93</v>
      </c>
      <c r="AF22" s="9" t="s">
        <v>94</v>
      </c>
      <c r="AG22" s="9" t="s">
        <v>95</v>
      </c>
    </row>
    <row r="23" spans="1:33" ht="15" thickBot="1" x14ac:dyDescent="0.35">
      <c r="A23" s="1" t="s">
        <v>26</v>
      </c>
      <c r="B23" s="1">
        <v>118</v>
      </c>
      <c r="C23" s="1">
        <v>1.4</v>
      </c>
      <c r="D23" s="1">
        <v>11</v>
      </c>
      <c r="E23" s="1">
        <v>415</v>
      </c>
      <c r="H23">
        <v>503</v>
      </c>
      <c r="I23" s="1">
        <v>13</v>
      </c>
      <c r="U23">
        <v>371</v>
      </c>
      <c r="V23" s="1">
        <v>2346</v>
      </c>
      <c r="Y23" s="7" t="s">
        <v>83</v>
      </c>
      <c r="Z23" s="7">
        <v>-17.986783234291806</v>
      </c>
      <c r="AA23" s="7">
        <v>55.532864415878151</v>
      </c>
      <c r="AB23" s="7">
        <v>-0.32389438980837015</v>
      </c>
      <c r="AC23" s="7">
        <v>0.74742511250522958</v>
      </c>
      <c r="AD23" s="7">
        <v>-129.64309061929026</v>
      </c>
      <c r="AE23" s="7">
        <v>93.669524150706664</v>
      </c>
      <c r="AF23" s="7">
        <v>-129.64309061929026</v>
      </c>
      <c r="AG23" s="7">
        <v>93.669524150706664</v>
      </c>
    </row>
    <row r="24" spans="1:33" ht="15" thickBot="1" x14ac:dyDescent="0.35">
      <c r="A24" s="1" t="s">
        <v>27</v>
      </c>
      <c r="B24" s="1">
        <v>487</v>
      </c>
      <c r="C24" s="1">
        <v>9.8000000000000007</v>
      </c>
      <c r="D24" s="1">
        <v>13.5</v>
      </c>
      <c r="E24" s="1">
        <v>2893</v>
      </c>
      <c r="H24">
        <v>371</v>
      </c>
      <c r="I24" s="1">
        <v>13</v>
      </c>
      <c r="K24" s="9"/>
      <c r="L24" s="9" t="s">
        <v>89</v>
      </c>
      <c r="M24" s="9" t="s">
        <v>77</v>
      </c>
      <c r="N24" s="9" t="s">
        <v>90</v>
      </c>
      <c r="O24" s="9" t="s">
        <v>91</v>
      </c>
      <c r="P24" s="9" t="s">
        <v>92</v>
      </c>
      <c r="Q24" s="9" t="s">
        <v>93</v>
      </c>
      <c r="R24" s="9" t="s">
        <v>94</v>
      </c>
      <c r="S24" s="9" t="s">
        <v>95</v>
      </c>
      <c r="U24">
        <v>571</v>
      </c>
      <c r="V24" s="1">
        <v>3412</v>
      </c>
      <c r="Y24" s="8" t="s">
        <v>96</v>
      </c>
      <c r="Z24" s="8">
        <v>0.1951589944669638</v>
      </c>
      <c r="AA24" s="8">
        <v>1.2402022026836206E-2</v>
      </c>
      <c r="AB24" s="8">
        <v>15.736062558562434</v>
      </c>
      <c r="AC24" s="8">
        <v>1.4057618789341767E-20</v>
      </c>
      <c r="AD24" s="8">
        <v>0.1702230579149856</v>
      </c>
      <c r="AE24" s="8">
        <v>0.22009493101894201</v>
      </c>
      <c r="AF24" s="8">
        <v>0.1702230579149856</v>
      </c>
      <c r="AG24" s="8">
        <v>0.22009493101894201</v>
      </c>
    </row>
    <row r="25" spans="1:33" x14ac:dyDescent="0.3">
      <c r="A25" s="1" t="s">
        <v>28</v>
      </c>
      <c r="B25" s="1">
        <v>628</v>
      </c>
      <c r="C25" s="1">
        <v>12.4</v>
      </c>
      <c r="D25" s="1">
        <v>11</v>
      </c>
      <c r="E25" s="1">
        <v>3705</v>
      </c>
      <c r="H25">
        <v>571</v>
      </c>
      <c r="I25" s="1">
        <v>7</v>
      </c>
      <c r="K25" s="7" t="s">
        <v>83</v>
      </c>
      <c r="L25" s="7">
        <v>1799.1052611769119</v>
      </c>
      <c r="M25" s="7">
        <v>421.74709794578547</v>
      </c>
      <c r="N25" s="7">
        <v>4.2658391010628423</v>
      </c>
      <c r="O25" s="7">
        <v>9.3010259891976787E-5</v>
      </c>
      <c r="P25" s="7">
        <v>951.12588711996455</v>
      </c>
      <c r="Q25" s="7">
        <v>2647.0846352338594</v>
      </c>
      <c r="R25" s="7">
        <v>951.12588711996455</v>
      </c>
      <c r="S25" s="7">
        <v>2647.0846352338594</v>
      </c>
      <c r="U25">
        <v>136</v>
      </c>
      <c r="V25" s="1">
        <v>653</v>
      </c>
    </row>
    <row r="26" spans="1:33" ht="15" thickBot="1" x14ac:dyDescent="0.35">
      <c r="A26" s="1" t="s">
        <v>29</v>
      </c>
      <c r="B26" s="1">
        <v>192</v>
      </c>
      <c r="C26" s="1">
        <v>2.9</v>
      </c>
      <c r="D26" s="1">
        <v>10.5</v>
      </c>
      <c r="E26" s="1">
        <v>1142</v>
      </c>
      <c r="H26">
        <v>136</v>
      </c>
      <c r="I26" s="1">
        <v>8</v>
      </c>
      <c r="K26" s="8" t="s">
        <v>96</v>
      </c>
      <c r="L26" s="8">
        <v>-118.43200257360226</v>
      </c>
      <c r="M26" s="8">
        <v>40.835360576961811</v>
      </c>
      <c r="N26" s="8">
        <v>-2.9002315860636321</v>
      </c>
      <c r="O26" s="8">
        <v>5.610602585029237E-3</v>
      </c>
      <c r="P26" s="8">
        <v>-200.53699788975996</v>
      </c>
      <c r="Q26" s="8">
        <v>-36.327007257444563</v>
      </c>
      <c r="R26" s="8">
        <v>-200.53699788975996</v>
      </c>
      <c r="S26" s="8">
        <v>-36.327007257444563</v>
      </c>
      <c r="U26">
        <v>109</v>
      </c>
      <c r="V26" s="1">
        <v>615</v>
      </c>
    </row>
    <row r="27" spans="1:33" x14ac:dyDescent="0.3">
      <c r="A27" s="1" t="s">
        <v>30</v>
      </c>
      <c r="B27" s="1">
        <v>642</v>
      </c>
      <c r="C27" s="1">
        <v>17.100000000000001</v>
      </c>
      <c r="D27" s="1">
        <v>12</v>
      </c>
      <c r="E27" s="1">
        <v>4583</v>
      </c>
      <c r="H27">
        <v>109</v>
      </c>
      <c r="I27" s="1">
        <v>13</v>
      </c>
      <c r="U27">
        <v>203</v>
      </c>
      <c r="V27" s="1">
        <v>1215</v>
      </c>
    </row>
    <row r="28" spans="1:33" x14ac:dyDescent="0.3">
      <c r="A28" s="1" t="s">
        <v>31</v>
      </c>
      <c r="B28" s="1">
        <v>320</v>
      </c>
      <c r="C28" s="1">
        <v>7.1</v>
      </c>
      <c r="D28" s="1">
        <v>13</v>
      </c>
      <c r="E28" s="1">
        <v>1975</v>
      </c>
      <c r="H28">
        <v>203</v>
      </c>
      <c r="I28" s="1">
        <v>13.9</v>
      </c>
      <c r="U28">
        <v>349</v>
      </c>
      <c r="V28" s="1">
        <v>2061</v>
      </c>
      <c r="Y28" t="s">
        <v>97</v>
      </c>
    </row>
    <row r="29" spans="1:33" ht="15" thickBot="1" x14ac:dyDescent="0.35">
      <c r="A29" s="1" t="s">
        <v>32</v>
      </c>
      <c r="B29" s="1">
        <v>677</v>
      </c>
      <c r="C29" s="1">
        <v>15.6</v>
      </c>
      <c r="D29" s="1">
        <v>7.5</v>
      </c>
      <c r="E29" s="1">
        <v>3916</v>
      </c>
      <c r="H29">
        <v>349</v>
      </c>
      <c r="I29" s="1">
        <v>8</v>
      </c>
      <c r="U29">
        <v>118</v>
      </c>
      <c r="V29" s="1">
        <v>415</v>
      </c>
    </row>
    <row r="30" spans="1:33" x14ac:dyDescent="0.3">
      <c r="A30" s="1" t="s">
        <v>33</v>
      </c>
      <c r="B30" s="1">
        <v>1459</v>
      </c>
      <c r="C30" s="1">
        <v>28.5</v>
      </c>
      <c r="D30" s="1">
        <v>8</v>
      </c>
      <c r="E30" s="1">
        <v>8335</v>
      </c>
      <c r="H30">
        <v>118</v>
      </c>
      <c r="I30" s="1">
        <v>11</v>
      </c>
      <c r="K30" t="s">
        <v>97</v>
      </c>
      <c r="U30">
        <v>487</v>
      </c>
      <c r="V30" s="1">
        <v>2893</v>
      </c>
      <c r="Y30" s="9" t="s">
        <v>98</v>
      </c>
      <c r="Z30" s="9" t="s">
        <v>99</v>
      </c>
      <c r="AA30" s="9" t="s">
        <v>100</v>
      </c>
    </row>
    <row r="31" spans="1:33" ht="15" thickBot="1" x14ac:dyDescent="0.35">
      <c r="A31" s="1" t="s">
        <v>34</v>
      </c>
      <c r="B31" s="1">
        <v>434</v>
      </c>
      <c r="C31" s="1">
        <v>6.9</v>
      </c>
      <c r="D31" s="1">
        <v>10</v>
      </c>
      <c r="E31" s="1">
        <v>2615</v>
      </c>
      <c r="H31">
        <v>487</v>
      </c>
      <c r="I31" s="1">
        <v>13.5</v>
      </c>
      <c r="U31">
        <v>628</v>
      </c>
      <c r="V31" s="1">
        <v>3705</v>
      </c>
      <c r="Y31" s="7">
        <v>1</v>
      </c>
      <c r="Z31" s="7">
        <v>127.01634965466229</v>
      </c>
      <c r="AA31" s="7">
        <v>142.98365034533771</v>
      </c>
    </row>
    <row r="32" spans="1:33" x14ac:dyDescent="0.3">
      <c r="A32" s="1" t="s">
        <v>35</v>
      </c>
      <c r="B32" s="1">
        <v>482</v>
      </c>
      <c r="C32" s="1">
        <v>11.9</v>
      </c>
      <c r="D32" s="1">
        <v>9</v>
      </c>
      <c r="E32" s="1">
        <v>3381</v>
      </c>
      <c r="H32">
        <v>628</v>
      </c>
      <c r="I32" s="1">
        <v>11</v>
      </c>
      <c r="K32" s="9" t="s">
        <v>98</v>
      </c>
      <c r="L32" s="9" t="s">
        <v>99</v>
      </c>
      <c r="M32" s="9" t="s">
        <v>100</v>
      </c>
      <c r="U32">
        <v>192</v>
      </c>
      <c r="V32" s="1">
        <v>1142</v>
      </c>
      <c r="Y32" s="7">
        <v>2</v>
      </c>
      <c r="Z32" s="7">
        <v>133.06627848313818</v>
      </c>
      <c r="AA32" s="7">
        <v>-11.066278483138177</v>
      </c>
    </row>
    <row r="33" spans="1:27" x14ac:dyDescent="0.3">
      <c r="A33" s="1" t="s">
        <v>36</v>
      </c>
      <c r="B33" s="1">
        <v>457</v>
      </c>
      <c r="C33" s="1">
        <v>13.7</v>
      </c>
      <c r="D33" s="1">
        <v>11</v>
      </c>
      <c r="E33" s="1">
        <v>3039</v>
      </c>
      <c r="H33">
        <v>192</v>
      </c>
      <c r="I33" s="1">
        <v>10.5</v>
      </c>
      <c r="K33" s="7">
        <v>1</v>
      </c>
      <c r="L33" s="7">
        <v>733.21723801449161</v>
      </c>
      <c r="M33" s="7">
        <v>-463.21723801449161</v>
      </c>
      <c r="U33">
        <v>642</v>
      </c>
      <c r="V33" s="1">
        <v>4583</v>
      </c>
      <c r="Y33" s="7">
        <v>3</v>
      </c>
      <c r="Z33" s="7">
        <v>50.51402382361249</v>
      </c>
      <c r="AA33" s="7">
        <v>7.4859761763875099</v>
      </c>
    </row>
    <row r="34" spans="1:27" x14ac:dyDescent="0.3">
      <c r="A34" s="1" t="s">
        <v>37</v>
      </c>
      <c r="B34" s="1">
        <v>325</v>
      </c>
      <c r="C34" s="1">
        <v>6.3</v>
      </c>
      <c r="D34" s="1">
        <v>9</v>
      </c>
      <c r="E34" s="1">
        <v>1593</v>
      </c>
      <c r="H34">
        <v>642</v>
      </c>
      <c r="I34" s="1">
        <v>12</v>
      </c>
      <c r="K34" s="7">
        <v>2</v>
      </c>
      <c r="L34" s="7">
        <v>141.05722514648028</v>
      </c>
      <c r="M34" s="7">
        <v>-19.057225146480278</v>
      </c>
      <c r="U34">
        <v>320</v>
      </c>
      <c r="V34" s="1">
        <v>1975</v>
      </c>
      <c r="Y34" s="7">
        <v>4</v>
      </c>
      <c r="Z34" s="7">
        <v>713.8594460168224</v>
      </c>
      <c r="AA34" s="7">
        <v>107.1405539831776</v>
      </c>
    </row>
    <row r="35" spans="1:27" x14ac:dyDescent="0.3">
      <c r="A35" s="1" t="s">
        <v>38</v>
      </c>
      <c r="B35" s="1">
        <v>300</v>
      </c>
      <c r="C35" s="1">
        <v>7.4</v>
      </c>
      <c r="D35" s="1">
        <v>9.5</v>
      </c>
      <c r="E35" s="1">
        <v>1481</v>
      </c>
      <c r="H35">
        <v>320</v>
      </c>
      <c r="I35" s="1">
        <v>13</v>
      </c>
      <c r="K35" s="7">
        <v>3</v>
      </c>
      <c r="L35" s="7">
        <v>496.35323286728703</v>
      </c>
      <c r="M35" s="7">
        <v>-438.35323286728703</v>
      </c>
      <c r="U35">
        <v>677</v>
      </c>
      <c r="V35" s="1">
        <v>3916</v>
      </c>
      <c r="Y35" s="7">
        <v>5</v>
      </c>
      <c r="Z35" s="7">
        <v>96.376387523348981</v>
      </c>
      <c r="AA35" s="7">
        <v>1.6236124766510187</v>
      </c>
    </row>
    <row r="36" spans="1:27" x14ac:dyDescent="0.3">
      <c r="A36" s="1" t="s">
        <v>39</v>
      </c>
      <c r="B36" s="1">
        <v>1417</v>
      </c>
      <c r="C36" s="1">
        <v>10.1</v>
      </c>
      <c r="D36" s="1">
        <v>8</v>
      </c>
      <c r="E36" s="1">
        <v>2800</v>
      </c>
      <c r="H36">
        <v>677</v>
      </c>
      <c r="I36" s="1">
        <v>7.5</v>
      </c>
      <c r="K36" s="7">
        <v>4</v>
      </c>
      <c r="L36" s="7">
        <v>626.6284356982494</v>
      </c>
      <c r="M36" s="7">
        <v>194.3715643017506</v>
      </c>
      <c r="U36">
        <v>1459</v>
      </c>
      <c r="V36" s="1">
        <v>8335</v>
      </c>
      <c r="Y36" s="7">
        <v>6</v>
      </c>
      <c r="Z36" s="7">
        <v>422.68222627211247</v>
      </c>
      <c r="AA36" s="7">
        <v>27.317773727887527</v>
      </c>
    </row>
    <row r="37" spans="1:27" x14ac:dyDescent="0.3">
      <c r="A37" s="1" t="s">
        <v>40</v>
      </c>
      <c r="B37" s="1">
        <v>451</v>
      </c>
      <c r="C37" s="1">
        <v>11.4</v>
      </c>
      <c r="D37" s="1">
        <v>6.58</v>
      </c>
      <c r="E37" s="1">
        <v>2780</v>
      </c>
      <c r="H37">
        <v>1459</v>
      </c>
      <c r="I37" s="1">
        <v>8</v>
      </c>
      <c r="K37" s="7">
        <v>5</v>
      </c>
      <c r="L37" s="7">
        <v>259.48922772008245</v>
      </c>
      <c r="M37" s="7">
        <v>-161.48922772008245</v>
      </c>
      <c r="U37">
        <v>434</v>
      </c>
      <c r="V37" s="1">
        <v>2615</v>
      </c>
      <c r="Y37" s="7">
        <v>7</v>
      </c>
      <c r="Z37" s="7">
        <v>1589.1475362011552</v>
      </c>
      <c r="AA37" s="7">
        <v>229.85246379884484</v>
      </c>
    </row>
    <row r="38" spans="1:27" x14ac:dyDescent="0.3">
      <c r="A38" s="1" t="s">
        <v>41</v>
      </c>
      <c r="B38" s="1">
        <v>3572</v>
      </c>
      <c r="C38" s="1">
        <v>59.9</v>
      </c>
      <c r="D38" s="1">
        <v>5</v>
      </c>
      <c r="E38" s="1">
        <v>11388</v>
      </c>
      <c r="H38">
        <v>434</v>
      </c>
      <c r="I38" s="1">
        <v>10</v>
      </c>
      <c r="K38" s="7">
        <v>6</v>
      </c>
      <c r="L38" s="7">
        <v>496.35323286728703</v>
      </c>
      <c r="M38" s="7">
        <v>-46.353232867287034</v>
      </c>
      <c r="U38">
        <v>482</v>
      </c>
      <c r="V38" s="1">
        <v>3381</v>
      </c>
      <c r="Y38" s="7">
        <v>8</v>
      </c>
      <c r="Z38" s="7">
        <v>941.60999255976924</v>
      </c>
      <c r="AA38" s="7">
        <v>287.39000744023076</v>
      </c>
    </row>
    <row r="39" spans="1:27" x14ac:dyDescent="0.3">
      <c r="A39" s="1" t="s">
        <v>42</v>
      </c>
      <c r="B39" s="1">
        <v>131</v>
      </c>
      <c r="C39" s="1">
        <v>2.2999999999999998</v>
      </c>
      <c r="D39" s="1">
        <v>9</v>
      </c>
      <c r="E39" s="1">
        <v>758</v>
      </c>
      <c r="H39">
        <v>482</v>
      </c>
      <c r="I39" s="1">
        <v>9</v>
      </c>
      <c r="K39" s="7">
        <v>7</v>
      </c>
      <c r="L39" s="7">
        <v>851.64924058809379</v>
      </c>
      <c r="M39" s="7">
        <v>967.35075941190621</v>
      </c>
      <c r="U39">
        <v>457</v>
      </c>
      <c r="V39" s="1">
        <v>3039</v>
      </c>
      <c r="Y39" s="7">
        <v>9</v>
      </c>
      <c r="Z39" s="7">
        <v>1294.0671365671058</v>
      </c>
      <c r="AA39" s="7">
        <v>-94.067136567105763</v>
      </c>
    </row>
    <row r="40" spans="1:27" x14ac:dyDescent="0.3">
      <c r="A40" s="1" t="s">
        <v>43</v>
      </c>
      <c r="B40" s="1">
        <v>105</v>
      </c>
      <c r="C40" s="1">
        <v>2.2000000000000002</v>
      </c>
      <c r="D40" s="1">
        <v>7.5</v>
      </c>
      <c r="E40" s="1">
        <v>873</v>
      </c>
      <c r="H40">
        <v>457</v>
      </c>
      <c r="I40" s="1">
        <v>11</v>
      </c>
      <c r="K40" s="7">
        <v>8</v>
      </c>
      <c r="L40" s="7">
        <v>851.64924058809379</v>
      </c>
      <c r="M40" s="7">
        <v>377.35075941190621</v>
      </c>
      <c r="U40">
        <v>325</v>
      </c>
      <c r="V40" s="1">
        <v>1593</v>
      </c>
      <c r="Y40" s="7">
        <v>10</v>
      </c>
      <c r="Z40" s="7">
        <v>1472.2472985154438</v>
      </c>
      <c r="AA40" s="7">
        <v>-267.24729851544384</v>
      </c>
    </row>
    <row r="41" spans="1:27" x14ac:dyDescent="0.3">
      <c r="A41" s="1" t="s">
        <v>44</v>
      </c>
      <c r="B41" s="1">
        <v>163</v>
      </c>
      <c r="C41" s="1">
        <v>1.5</v>
      </c>
      <c r="D41" s="1">
        <v>8</v>
      </c>
      <c r="E41" s="1">
        <v>508</v>
      </c>
      <c r="H41">
        <v>325</v>
      </c>
      <c r="I41" s="1">
        <v>9</v>
      </c>
      <c r="K41" s="7">
        <v>9</v>
      </c>
      <c r="L41" s="7">
        <v>496.35323286728703</v>
      </c>
      <c r="M41" s="7">
        <v>703.64676713271297</v>
      </c>
      <c r="U41">
        <v>300</v>
      </c>
      <c r="V41" s="1">
        <v>1481</v>
      </c>
      <c r="Y41" s="7">
        <v>11</v>
      </c>
      <c r="Z41" s="7">
        <v>740.01075127539559</v>
      </c>
      <c r="AA41" s="7">
        <v>-90.010751275395592</v>
      </c>
    </row>
    <row r="42" spans="1:27" x14ac:dyDescent="0.3">
      <c r="A42" s="1" t="s">
        <v>45</v>
      </c>
      <c r="B42" s="1">
        <v>323</v>
      </c>
      <c r="C42" s="1">
        <v>9.1999999999999993</v>
      </c>
      <c r="D42" s="1">
        <v>9</v>
      </c>
      <c r="E42" s="1">
        <v>2502</v>
      </c>
      <c r="H42">
        <v>300</v>
      </c>
      <c r="I42" s="1">
        <v>9.5</v>
      </c>
      <c r="K42" s="7">
        <v>10</v>
      </c>
      <c r="L42" s="7">
        <v>413.45083106576544</v>
      </c>
      <c r="M42" s="7">
        <v>791.54916893423456</v>
      </c>
      <c r="U42">
        <v>1417</v>
      </c>
      <c r="V42" s="1">
        <v>2800</v>
      </c>
      <c r="Y42" s="7">
        <v>12</v>
      </c>
      <c r="Z42" s="7">
        <v>1395.3546546954601</v>
      </c>
      <c r="AA42" s="7">
        <v>-197.35465469546011</v>
      </c>
    </row>
    <row r="43" spans="1:27" x14ac:dyDescent="0.3">
      <c r="A43" s="1" t="s">
        <v>46</v>
      </c>
      <c r="B43" s="1">
        <v>192</v>
      </c>
      <c r="C43" s="1">
        <v>4.4000000000000004</v>
      </c>
      <c r="D43" s="1">
        <v>11</v>
      </c>
      <c r="E43" s="1">
        <v>1193</v>
      </c>
      <c r="H43">
        <v>1417</v>
      </c>
      <c r="I43" s="1">
        <v>8</v>
      </c>
      <c r="K43" s="7">
        <v>11</v>
      </c>
      <c r="L43" s="7">
        <v>484.51003260992684</v>
      </c>
      <c r="M43" s="7">
        <v>165.48996739007316</v>
      </c>
      <c r="U43">
        <v>451</v>
      </c>
      <c r="V43" s="1">
        <v>2780</v>
      </c>
      <c r="Y43" s="7">
        <v>13</v>
      </c>
      <c r="Z43" s="7">
        <v>1201.756932184232</v>
      </c>
      <c r="AA43" s="7">
        <v>-441.75693218423203</v>
      </c>
    </row>
    <row r="44" spans="1:27" x14ac:dyDescent="0.3">
      <c r="A44" s="1" t="s">
        <v>47</v>
      </c>
      <c r="B44" s="1">
        <v>291</v>
      </c>
      <c r="C44" s="1">
        <v>8.9</v>
      </c>
      <c r="D44" s="1">
        <v>10</v>
      </c>
      <c r="E44" s="1">
        <v>2216</v>
      </c>
      <c r="H44">
        <v>451</v>
      </c>
      <c r="I44" s="1">
        <v>6.58</v>
      </c>
      <c r="K44" s="7">
        <v>12</v>
      </c>
      <c r="L44" s="7">
        <v>910.86524187489488</v>
      </c>
      <c r="M44" s="7">
        <v>287.13475812510512</v>
      </c>
      <c r="U44">
        <v>3572</v>
      </c>
      <c r="V44" s="1">
        <v>11388</v>
      </c>
      <c r="Y44" s="7">
        <v>14</v>
      </c>
      <c r="Z44" s="7">
        <v>599.1059572702477</v>
      </c>
      <c r="AA44" s="7">
        <v>-139.1059572702477</v>
      </c>
    </row>
    <row r="45" spans="1:27" x14ac:dyDescent="0.3">
      <c r="A45" s="1" t="s">
        <v>48</v>
      </c>
      <c r="B45" s="1">
        <v>169</v>
      </c>
      <c r="C45" s="1">
        <v>5</v>
      </c>
      <c r="D45" s="1">
        <v>11</v>
      </c>
      <c r="E45" s="1">
        <v>1038</v>
      </c>
      <c r="H45">
        <v>3572</v>
      </c>
      <c r="I45" s="1">
        <v>5</v>
      </c>
      <c r="K45" s="7">
        <v>13</v>
      </c>
      <c r="L45" s="7">
        <v>259.48922772008245</v>
      </c>
      <c r="M45" s="7">
        <v>500.51077227991755</v>
      </c>
      <c r="U45">
        <v>131</v>
      </c>
      <c r="V45" s="1">
        <v>758</v>
      </c>
      <c r="Y45" s="7">
        <v>15</v>
      </c>
      <c r="Z45" s="7">
        <v>621.74440062841552</v>
      </c>
      <c r="AA45" s="7">
        <v>-118.74440062841552</v>
      </c>
    </row>
    <row r="46" spans="1:27" x14ac:dyDescent="0.3">
      <c r="A46" s="1" t="s">
        <v>49</v>
      </c>
      <c r="B46" s="1">
        <v>133</v>
      </c>
      <c r="C46" s="1">
        <v>2.4</v>
      </c>
      <c r="D46" s="1">
        <v>12</v>
      </c>
      <c r="E46" s="1">
        <v>710</v>
      </c>
      <c r="H46">
        <v>131</v>
      </c>
      <c r="I46" s="1">
        <v>9</v>
      </c>
      <c r="K46" s="7">
        <v>14</v>
      </c>
      <c r="L46" s="7">
        <v>259.48922772008245</v>
      </c>
      <c r="M46" s="7">
        <v>200.51077227991755</v>
      </c>
      <c r="U46">
        <v>105</v>
      </c>
      <c r="V46" s="1">
        <v>873</v>
      </c>
      <c r="Y46" s="7">
        <v>16</v>
      </c>
      <c r="Z46" s="7">
        <v>439.85621778520527</v>
      </c>
      <c r="AA46" s="7">
        <v>-68.856217785205274</v>
      </c>
    </row>
    <row r="47" spans="1:27" x14ac:dyDescent="0.3">
      <c r="A47" s="1" t="s">
        <v>50</v>
      </c>
      <c r="B47" s="1">
        <v>562</v>
      </c>
      <c r="C47" s="1">
        <v>14.8</v>
      </c>
      <c r="D47" s="1">
        <v>12</v>
      </c>
      <c r="E47" s="1">
        <v>3237</v>
      </c>
      <c r="H47">
        <v>105</v>
      </c>
      <c r="I47" s="1">
        <v>7.5</v>
      </c>
      <c r="K47" s="7">
        <v>15</v>
      </c>
      <c r="L47" s="7">
        <v>259.48922772008245</v>
      </c>
      <c r="M47" s="7">
        <v>243.51077227991755</v>
      </c>
      <c r="U47">
        <v>163</v>
      </c>
      <c r="V47" s="1">
        <v>508</v>
      </c>
      <c r="Y47" s="7">
        <v>17</v>
      </c>
      <c r="Z47" s="7">
        <v>647.89570588698871</v>
      </c>
      <c r="AA47" s="7">
        <v>-76.895705886988708</v>
      </c>
    </row>
    <row r="48" spans="1:27" x14ac:dyDescent="0.3">
      <c r="A48" s="1" t="s">
        <v>51</v>
      </c>
      <c r="B48" s="1">
        <v>364</v>
      </c>
      <c r="C48" s="1">
        <v>8.4</v>
      </c>
      <c r="D48" s="1">
        <v>8</v>
      </c>
      <c r="E48" s="1">
        <v>2075</v>
      </c>
      <c r="H48">
        <v>163</v>
      </c>
      <c r="I48" s="1">
        <v>8</v>
      </c>
      <c r="K48" s="7">
        <v>16</v>
      </c>
      <c r="L48" s="7">
        <v>259.48922772008245</v>
      </c>
      <c r="M48" s="7">
        <v>111.51077227991755</v>
      </c>
      <c r="U48">
        <v>323</v>
      </c>
      <c r="V48" s="1">
        <v>2502</v>
      </c>
      <c r="Y48" s="7">
        <v>18</v>
      </c>
      <c r="Z48" s="7">
        <v>109.45204015263556</v>
      </c>
      <c r="AA48" s="7">
        <v>26.547959847364439</v>
      </c>
    </row>
    <row r="49" spans="1:27" x14ac:dyDescent="0.3">
      <c r="A49" s="1" t="s">
        <v>52</v>
      </c>
      <c r="B49" s="1">
        <v>2840</v>
      </c>
      <c r="C49" s="1">
        <v>62.5</v>
      </c>
      <c r="D49" s="1">
        <v>9</v>
      </c>
      <c r="E49" s="1">
        <v>17130</v>
      </c>
      <c r="H49">
        <v>323</v>
      </c>
      <c r="I49" s="1">
        <v>9</v>
      </c>
      <c r="K49" s="7">
        <v>17</v>
      </c>
      <c r="L49" s="7">
        <v>970.08124316169608</v>
      </c>
      <c r="M49" s="7">
        <v>-399.08124316169608</v>
      </c>
      <c r="U49">
        <v>192</v>
      </c>
      <c r="V49" s="1">
        <v>1193</v>
      </c>
      <c r="Y49" s="7">
        <v>19</v>
      </c>
      <c r="Z49" s="7">
        <v>102.03599836289094</v>
      </c>
      <c r="AA49" s="7">
        <v>6.9640016371090638</v>
      </c>
    </row>
    <row r="50" spans="1:27" x14ac:dyDescent="0.3">
      <c r="A50" s="1" t="s">
        <v>53</v>
      </c>
      <c r="B50" s="1">
        <v>155</v>
      </c>
      <c r="C50" s="1">
        <v>1.2</v>
      </c>
      <c r="D50" s="1">
        <v>8</v>
      </c>
      <c r="E50" s="1">
        <v>319</v>
      </c>
      <c r="H50">
        <v>192</v>
      </c>
      <c r="I50" s="1">
        <v>11</v>
      </c>
      <c r="K50" s="7">
        <v>18</v>
      </c>
      <c r="L50" s="7">
        <v>851.64924058809379</v>
      </c>
      <c r="M50" s="7">
        <v>-715.64924058809379</v>
      </c>
      <c r="U50">
        <v>291</v>
      </c>
      <c r="V50" s="1">
        <v>2216</v>
      </c>
      <c r="Y50" s="7">
        <v>20</v>
      </c>
      <c r="Z50" s="7">
        <v>219.1313950430692</v>
      </c>
      <c r="AA50" s="7">
        <v>-16.131395043069205</v>
      </c>
    </row>
    <row r="51" spans="1:27" x14ac:dyDescent="0.3">
      <c r="A51" s="1" t="s">
        <v>54</v>
      </c>
      <c r="B51" s="1">
        <v>214</v>
      </c>
      <c r="C51" s="1">
        <v>1.3</v>
      </c>
      <c r="D51" s="1">
        <v>8.5</v>
      </c>
      <c r="E51" s="1">
        <v>586</v>
      </c>
      <c r="H51">
        <v>291</v>
      </c>
      <c r="I51" s="1">
        <v>10</v>
      </c>
      <c r="K51" s="7">
        <v>19</v>
      </c>
      <c r="L51" s="7">
        <v>259.48922772008245</v>
      </c>
      <c r="M51" s="7">
        <v>-150.48922772008245</v>
      </c>
      <c r="U51">
        <v>169</v>
      </c>
      <c r="V51" s="1">
        <v>1038</v>
      </c>
      <c r="Y51" s="7">
        <v>21</v>
      </c>
      <c r="Z51" s="7">
        <v>384.23590436212061</v>
      </c>
      <c r="AA51" s="7">
        <v>-35.235904362120607</v>
      </c>
    </row>
    <row r="52" spans="1:27" x14ac:dyDescent="0.3">
      <c r="H52">
        <v>169</v>
      </c>
      <c r="I52" s="1">
        <v>11</v>
      </c>
      <c r="K52" s="7">
        <v>20</v>
      </c>
      <c r="L52" s="7">
        <v>152.90042540384047</v>
      </c>
      <c r="M52" s="7">
        <v>50.099574596159528</v>
      </c>
      <c r="U52">
        <v>133</v>
      </c>
      <c r="V52" s="1">
        <v>710</v>
      </c>
      <c r="Y52" s="7">
        <v>22</v>
      </c>
      <c r="Z52" s="7">
        <v>63.004199469498175</v>
      </c>
      <c r="AA52" s="7">
        <v>54.995800530501825</v>
      </c>
    </row>
    <row r="53" spans="1:27" x14ac:dyDescent="0.3">
      <c r="H53">
        <v>133</v>
      </c>
      <c r="I53" s="1">
        <v>12</v>
      </c>
      <c r="K53" s="7">
        <v>21</v>
      </c>
      <c r="L53" s="7">
        <v>851.64924058809379</v>
      </c>
      <c r="M53" s="7">
        <v>-502.64924058809379</v>
      </c>
      <c r="U53">
        <v>562</v>
      </c>
      <c r="V53" s="1">
        <v>3237</v>
      </c>
      <c r="Y53" s="7">
        <v>23</v>
      </c>
      <c r="Z53" s="7">
        <v>546.60818775863447</v>
      </c>
      <c r="AA53" s="7">
        <v>-59.608187758634472</v>
      </c>
    </row>
    <row r="54" spans="1:27" x14ac:dyDescent="0.3">
      <c r="H54">
        <v>562</v>
      </c>
      <c r="I54" s="1">
        <v>12</v>
      </c>
      <c r="K54" s="7">
        <v>22</v>
      </c>
      <c r="L54" s="7">
        <v>496.35323286728703</v>
      </c>
      <c r="M54" s="7">
        <v>-378.35323286728703</v>
      </c>
      <c r="U54">
        <v>364</v>
      </c>
      <c r="V54" s="1">
        <v>2075</v>
      </c>
      <c r="Y54" s="7">
        <v>24</v>
      </c>
      <c r="Z54" s="7">
        <v>705.07729126580909</v>
      </c>
      <c r="AA54" s="7">
        <v>-77.077291265809095</v>
      </c>
    </row>
    <row r="55" spans="1:27" x14ac:dyDescent="0.3">
      <c r="H55">
        <v>364</v>
      </c>
      <c r="I55" s="1">
        <v>8</v>
      </c>
      <c r="K55" s="7">
        <v>23</v>
      </c>
      <c r="L55" s="7">
        <v>200.27322643328125</v>
      </c>
      <c r="M55" s="7">
        <v>286.72677356671875</v>
      </c>
      <c r="U55">
        <v>2840</v>
      </c>
      <c r="V55" s="1">
        <v>17130</v>
      </c>
      <c r="Y55" s="7">
        <v>25</v>
      </c>
      <c r="Z55" s="7">
        <v>204.88478844698085</v>
      </c>
      <c r="AA55" s="7">
        <v>-12.884788446980849</v>
      </c>
    </row>
    <row r="56" spans="1:27" x14ac:dyDescent="0.3">
      <c r="H56">
        <v>2840</v>
      </c>
      <c r="I56" s="1">
        <v>9</v>
      </c>
      <c r="K56" s="7">
        <v>24</v>
      </c>
      <c r="L56" s="7">
        <v>496.35323286728703</v>
      </c>
      <c r="M56" s="7">
        <v>131.64676713271297</v>
      </c>
      <c r="U56">
        <v>155</v>
      </c>
      <c r="V56" s="1">
        <v>319</v>
      </c>
      <c r="Y56" s="7">
        <v>26</v>
      </c>
      <c r="Z56" s="7">
        <v>876.42688840780329</v>
      </c>
      <c r="AA56" s="7">
        <v>-234.42688840780329</v>
      </c>
    </row>
    <row r="57" spans="1:27" x14ac:dyDescent="0.3">
      <c r="H57">
        <v>155</v>
      </c>
      <c r="I57" s="1">
        <v>8</v>
      </c>
      <c r="K57" s="7">
        <v>25</v>
      </c>
      <c r="L57" s="7">
        <v>555.56923415408824</v>
      </c>
      <c r="M57" s="7">
        <v>-363.56923415408824</v>
      </c>
      <c r="U57">
        <v>214</v>
      </c>
      <c r="V57" s="1">
        <v>586</v>
      </c>
      <c r="Y57" s="7">
        <v>27</v>
      </c>
      <c r="Z57" s="7">
        <v>367.45223083796168</v>
      </c>
      <c r="AA57" s="7">
        <v>-47.452230837961679</v>
      </c>
    </row>
    <row r="58" spans="1:27" x14ac:dyDescent="0.3">
      <c r="H58">
        <v>214</v>
      </c>
      <c r="I58" s="1">
        <v>8.5</v>
      </c>
      <c r="K58" s="7">
        <v>26</v>
      </c>
      <c r="L58" s="7">
        <v>377.92123029368486</v>
      </c>
      <c r="M58" s="7">
        <v>264.07876970631514</v>
      </c>
      <c r="Y58" s="7">
        <v>28</v>
      </c>
      <c r="Z58" s="7">
        <v>746.25583909833847</v>
      </c>
      <c r="AA58" s="7">
        <v>-69.25583909833847</v>
      </c>
    </row>
    <row r="59" spans="1:27" x14ac:dyDescent="0.3">
      <c r="K59" s="7">
        <v>27</v>
      </c>
      <c r="L59" s="7">
        <v>259.48922772008245</v>
      </c>
      <c r="M59" s="7">
        <v>60.510772279917546</v>
      </c>
      <c r="Y59" s="7">
        <v>29</v>
      </c>
      <c r="Z59" s="7">
        <v>1608.6634356478514</v>
      </c>
      <c r="AA59" s="7">
        <v>-149.66343564785143</v>
      </c>
    </row>
    <row r="60" spans="1:27" x14ac:dyDescent="0.3">
      <c r="K60" s="7">
        <v>28</v>
      </c>
      <c r="L60" s="7">
        <v>910.86524187489488</v>
      </c>
      <c r="M60" s="7">
        <v>-233.86524187489488</v>
      </c>
      <c r="Y60" s="7">
        <v>30</v>
      </c>
      <c r="Z60" s="7">
        <v>492.35398729681856</v>
      </c>
      <c r="AA60" s="7">
        <v>-58.353987296818559</v>
      </c>
    </row>
    <row r="61" spans="1:27" x14ac:dyDescent="0.3">
      <c r="K61" s="7">
        <v>29</v>
      </c>
      <c r="L61" s="7">
        <v>851.64924058809379</v>
      </c>
      <c r="M61" s="7">
        <v>607.35075941190621</v>
      </c>
      <c r="Y61" s="7">
        <v>31</v>
      </c>
      <c r="Z61" s="7">
        <v>641.84577705851279</v>
      </c>
      <c r="AA61" s="7">
        <v>-159.84577705851279</v>
      </c>
    </row>
    <row r="62" spans="1:27" x14ac:dyDescent="0.3">
      <c r="K62" s="7">
        <v>30</v>
      </c>
      <c r="L62" s="7">
        <v>614.78523544088921</v>
      </c>
      <c r="M62" s="7">
        <v>-180.78523544088921</v>
      </c>
      <c r="Y62" s="7">
        <v>32</v>
      </c>
      <c r="Z62" s="7">
        <v>575.10140095081124</v>
      </c>
      <c r="AA62" s="7">
        <v>-118.10140095081124</v>
      </c>
    </row>
    <row r="63" spans="1:27" x14ac:dyDescent="0.3">
      <c r="K63" s="7">
        <v>31</v>
      </c>
      <c r="L63" s="7">
        <v>733.21723801449161</v>
      </c>
      <c r="M63" s="7">
        <v>-251.21723801449161</v>
      </c>
      <c r="Y63" s="7">
        <v>33</v>
      </c>
      <c r="Z63" s="7">
        <v>292.90149495158153</v>
      </c>
      <c r="AA63" s="7">
        <v>32.098505048418474</v>
      </c>
    </row>
    <row r="64" spans="1:27" x14ac:dyDescent="0.3">
      <c r="K64" s="7">
        <v>32</v>
      </c>
      <c r="L64" s="7">
        <v>496.35323286728703</v>
      </c>
      <c r="M64" s="7">
        <v>-39.353232867287034</v>
      </c>
      <c r="Y64" s="7">
        <v>34</v>
      </c>
      <c r="Z64" s="7">
        <v>271.04368757128157</v>
      </c>
      <c r="AA64" s="7">
        <v>28.956312428718434</v>
      </c>
    </row>
    <row r="65" spans="1:27" x14ac:dyDescent="0.3">
      <c r="K65" s="7">
        <v>33</v>
      </c>
      <c r="L65" s="7">
        <v>733.21723801449161</v>
      </c>
      <c r="M65" s="7">
        <v>-408.21723801449161</v>
      </c>
      <c r="Y65" s="7">
        <v>35</v>
      </c>
      <c r="Z65" s="7">
        <v>528.45840127320685</v>
      </c>
      <c r="AA65" s="7">
        <v>888.54159872679315</v>
      </c>
    </row>
    <row r="66" spans="1:27" x14ac:dyDescent="0.3">
      <c r="K66" s="7">
        <v>34</v>
      </c>
      <c r="L66" s="7">
        <v>674.00123672769041</v>
      </c>
      <c r="M66" s="7">
        <v>-374.00123672769041</v>
      </c>
      <c r="Y66" s="7">
        <v>36</v>
      </c>
      <c r="Z66" s="7">
        <v>524.55522138386755</v>
      </c>
      <c r="AA66" s="7">
        <v>-73.555221383867547</v>
      </c>
    </row>
    <row r="67" spans="1:27" x14ac:dyDescent="0.3">
      <c r="K67" s="7">
        <v>35</v>
      </c>
      <c r="L67" s="7">
        <v>851.64924058809379</v>
      </c>
      <c r="M67" s="7">
        <v>565.35075941190621</v>
      </c>
      <c r="Y67" s="7">
        <v>37</v>
      </c>
      <c r="Z67" s="7">
        <v>2204.4838457554924</v>
      </c>
      <c r="AA67" s="7">
        <v>1367.5161542445076</v>
      </c>
    </row>
    <row r="68" spans="1:27" x14ac:dyDescent="0.3">
      <c r="K68" s="7">
        <v>36</v>
      </c>
      <c r="L68" s="7">
        <v>1019.8226842426089</v>
      </c>
      <c r="M68" s="7">
        <v>-568.82268424260894</v>
      </c>
      <c r="Y68" s="7">
        <v>38</v>
      </c>
      <c r="Z68" s="7">
        <v>129.94373457166677</v>
      </c>
      <c r="AA68" s="7">
        <v>1.0562654283332336</v>
      </c>
    </row>
    <row r="69" spans="1:27" x14ac:dyDescent="0.3">
      <c r="K69" s="7">
        <v>37</v>
      </c>
      <c r="L69" s="7">
        <v>1206.9452483089005</v>
      </c>
      <c r="M69" s="7">
        <v>2365.0547516910992</v>
      </c>
      <c r="Y69" s="7">
        <v>39</v>
      </c>
      <c r="Z69" s="7">
        <v>152.38701893536759</v>
      </c>
      <c r="AA69" s="7">
        <v>-47.387018935367593</v>
      </c>
    </row>
    <row r="70" spans="1:27" x14ac:dyDescent="0.3">
      <c r="K70" s="7">
        <v>38</v>
      </c>
      <c r="L70" s="7">
        <v>733.21723801449161</v>
      </c>
      <c r="M70" s="7">
        <v>-602.21723801449161</v>
      </c>
      <c r="Y70" s="7">
        <v>40</v>
      </c>
      <c r="Z70" s="7">
        <v>81.153985954925801</v>
      </c>
      <c r="AA70" s="7">
        <v>81.846014045074199</v>
      </c>
    </row>
    <row r="71" spans="1:27" x14ac:dyDescent="0.3">
      <c r="K71" s="7">
        <v>39</v>
      </c>
      <c r="L71" s="7">
        <v>910.86524187489488</v>
      </c>
      <c r="M71" s="7">
        <v>-805.86524187489488</v>
      </c>
      <c r="Y71" s="7">
        <v>41</v>
      </c>
      <c r="Z71" s="7">
        <v>470.30102092205163</v>
      </c>
      <c r="AA71" s="7">
        <v>-147.30102092205163</v>
      </c>
    </row>
    <row r="72" spans="1:27" x14ac:dyDescent="0.3">
      <c r="K72" s="7">
        <v>40</v>
      </c>
      <c r="L72" s="7">
        <v>851.64924058809379</v>
      </c>
      <c r="M72" s="7">
        <v>-688.64924058809379</v>
      </c>
      <c r="Y72" s="7">
        <v>42</v>
      </c>
      <c r="Z72" s="7">
        <v>214.837897164796</v>
      </c>
      <c r="AA72" s="7">
        <v>-22.837897164796004</v>
      </c>
    </row>
    <row r="73" spans="1:27" x14ac:dyDescent="0.3">
      <c r="K73" s="7">
        <v>41</v>
      </c>
      <c r="L73" s="7">
        <v>733.21723801449161</v>
      </c>
      <c r="M73" s="7">
        <v>-410.21723801449161</v>
      </c>
      <c r="Y73" s="7">
        <v>43</v>
      </c>
      <c r="Z73" s="7">
        <v>414.4855485045</v>
      </c>
      <c r="AA73" s="7">
        <v>-123.4855485045</v>
      </c>
    </row>
    <row r="74" spans="1:27" x14ac:dyDescent="0.3">
      <c r="A74" t="s">
        <v>58</v>
      </c>
      <c r="K74" s="7">
        <v>42</v>
      </c>
      <c r="L74" s="7">
        <v>496.35323286728703</v>
      </c>
      <c r="M74" s="7">
        <v>-304.35323286728703</v>
      </c>
      <c r="Y74" s="7">
        <v>44</v>
      </c>
      <c r="Z74" s="7">
        <v>184.58825302241661</v>
      </c>
      <c r="AA74" s="7">
        <v>-15.588253022416609</v>
      </c>
    </row>
    <row r="75" spans="1:27" x14ac:dyDescent="0.3">
      <c r="K75" s="7">
        <v>43</v>
      </c>
      <c r="L75" s="7">
        <v>614.78523544088921</v>
      </c>
      <c r="M75" s="7">
        <v>-323.78523544088921</v>
      </c>
      <c r="Y75" s="7">
        <v>45</v>
      </c>
      <c r="Z75" s="7">
        <v>120.57610283725251</v>
      </c>
      <c r="AA75" s="7">
        <v>12.423897162747494</v>
      </c>
    </row>
    <row r="76" spans="1:27" x14ac:dyDescent="0.3">
      <c r="K76" s="7">
        <v>44</v>
      </c>
      <c r="L76" s="7">
        <v>496.35323286728703</v>
      </c>
      <c r="M76" s="7">
        <v>-327.35323286728703</v>
      </c>
      <c r="Y76" s="7">
        <v>46</v>
      </c>
      <c r="Z76" s="7">
        <v>613.74288185527007</v>
      </c>
      <c r="AA76" s="7">
        <v>-51.74288185527007</v>
      </c>
    </row>
    <row r="77" spans="1:27" x14ac:dyDescent="0.3">
      <c r="K77" s="7">
        <v>45</v>
      </c>
      <c r="L77" s="7">
        <v>377.92123029368486</v>
      </c>
      <c r="M77" s="7">
        <v>-244.92123029368486</v>
      </c>
      <c r="Y77" s="7">
        <v>47</v>
      </c>
      <c r="Z77" s="7">
        <v>386.96813028465806</v>
      </c>
      <c r="AA77" s="7">
        <v>-22.968130284658059</v>
      </c>
    </row>
    <row r="78" spans="1:27" x14ac:dyDescent="0.3">
      <c r="K78" s="7">
        <v>46</v>
      </c>
      <c r="L78" s="7">
        <v>377.92123029368486</v>
      </c>
      <c r="M78" s="7">
        <v>184.07876970631514</v>
      </c>
      <c r="Y78" s="7">
        <v>48</v>
      </c>
      <c r="Z78" s="7">
        <v>3325.0867919847979</v>
      </c>
      <c r="AA78" s="7">
        <v>-485.08679198479786</v>
      </c>
    </row>
    <row r="79" spans="1:27" x14ac:dyDescent="0.3">
      <c r="K79" s="7">
        <v>47</v>
      </c>
      <c r="L79" s="7">
        <v>851.64924058809379</v>
      </c>
      <c r="M79" s="7">
        <v>-487.64924058809379</v>
      </c>
      <c r="Y79" s="7">
        <v>49</v>
      </c>
      <c r="Z79" s="7">
        <v>44.268936000669648</v>
      </c>
      <c r="AA79" s="7">
        <v>110.73106399933036</v>
      </c>
    </row>
    <row r="80" spans="1:27" ht="15" thickBot="1" x14ac:dyDescent="0.35">
      <c r="K80" s="7">
        <v>48</v>
      </c>
      <c r="L80" s="7">
        <v>733.21723801449161</v>
      </c>
      <c r="M80" s="7">
        <v>2106.7827619855084</v>
      </c>
      <c r="Y80" s="8">
        <v>50</v>
      </c>
      <c r="Z80" s="8">
        <v>96.376387523348981</v>
      </c>
      <c r="AA80" s="8">
        <v>117.62361247665102</v>
      </c>
    </row>
    <row r="81" spans="11:13" x14ac:dyDescent="0.3">
      <c r="K81" s="7">
        <v>49</v>
      </c>
      <c r="L81" s="7">
        <v>851.64924058809379</v>
      </c>
      <c r="M81" s="7">
        <v>-696.64924058809379</v>
      </c>
    </row>
    <row r="82" spans="11:13" ht="15" thickBot="1" x14ac:dyDescent="0.35">
      <c r="K82" s="8">
        <v>50</v>
      </c>
      <c r="L82" s="8">
        <v>792.4332393012927</v>
      </c>
      <c r="M82" s="8">
        <v>-578.4332393012927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AC01-60F9-4660-8BAE-C50CC021CE26}">
  <dimension ref="B2:V56"/>
  <sheetViews>
    <sheetView topLeftCell="A31" zoomScale="84" workbookViewId="0">
      <selection activeCell="Z34" sqref="Z34"/>
    </sheetView>
  </sheetViews>
  <sheetFormatPr defaultRowHeight="14.4" x14ac:dyDescent="0.3"/>
  <sheetData>
    <row r="2" spans="2:14" x14ac:dyDescent="0.3">
      <c r="B2" t="s">
        <v>101</v>
      </c>
      <c r="L2" t="s">
        <v>102</v>
      </c>
    </row>
    <row r="4" spans="2:14" x14ac:dyDescent="0.3">
      <c r="B4" t="s">
        <v>62</v>
      </c>
      <c r="C4" t="s">
        <v>56</v>
      </c>
      <c r="D4" t="s">
        <v>57</v>
      </c>
      <c r="L4" s="3" t="s">
        <v>62</v>
      </c>
      <c r="M4" s="4" t="s">
        <v>56</v>
      </c>
      <c r="N4" s="4" t="s">
        <v>57</v>
      </c>
    </row>
    <row r="5" spans="2:14" x14ac:dyDescent="0.3">
      <c r="B5">
        <v>1</v>
      </c>
      <c r="C5">
        <v>10600</v>
      </c>
      <c r="D5">
        <v>12000</v>
      </c>
      <c r="L5" s="5">
        <v>1</v>
      </c>
      <c r="M5" s="5">
        <v>15000</v>
      </c>
      <c r="N5" s="5">
        <v>18000</v>
      </c>
    </row>
    <row r="6" spans="2:14" x14ac:dyDescent="0.3">
      <c r="B6">
        <v>2</v>
      </c>
      <c r="C6">
        <v>10800</v>
      </c>
      <c r="D6">
        <v>12000</v>
      </c>
      <c r="L6" s="5">
        <f>L5+1</f>
        <v>2</v>
      </c>
      <c r="M6" s="5">
        <v>15700</v>
      </c>
      <c r="N6" s="5">
        <v>18000</v>
      </c>
    </row>
    <row r="7" spans="2:14" x14ac:dyDescent="0.3">
      <c r="B7">
        <v>3</v>
      </c>
      <c r="C7">
        <v>11100</v>
      </c>
      <c r="D7">
        <v>12000</v>
      </c>
      <c r="L7" s="5">
        <f t="shared" ref="L7:L16" si="0">L6+1</f>
        <v>3</v>
      </c>
      <c r="M7" s="5">
        <v>16400</v>
      </c>
      <c r="N7" s="5">
        <v>18000</v>
      </c>
    </row>
    <row r="8" spans="2:14" x14ac:dyDescent="0.3">
      <c r="B8">
        <v>4</v>
      </c>
      <c r="C8">
        <v>11400</v>
      </c>
      <c r="D8">
        <v>13000</v>
      </c>
      <c r="L8" s="5">
        <f t="shared" si="0"/>
        <v>4</v>
      </c>
      <c r="M8" s="5">
        <v>15900</v>
      </c>
      <c r="N8" s="5">
        <v>19000</v>
      </c>
    </row>
    <row r="9" spans="2:14" x14ac:dyDescent="0.3">
      <c r="B9">
        <v>5</v>
      </c>
      <c r="C9">
        <v>11700</v>
      </c>
      <c r="D9">
        <v>13000</v>
      </c>
      <c r="L9" s="5">
        <f t="shared" si="0"/>
        <v>5</v>
      </c>
      <c r="M9" s="5">
        <v>16500</v>
      </c>
      <c r="N9" s="5">
        <v>19000</v>
      </c>
    </row>
    <row r="10" spans="2:14" x14ac:dyDescent="0.3">
      <c r="B10">
        <v>6</v>
      </c>
      <c r="C10">
        <v>12100</v>
      </c>
      <c r="D10">
        <v>13000</v>
      </c>
      <c r="L10" s="5">
        <f t="shared" si="0"/>
        <v>6</v>
      </c>
      <c r="M10" s="5">
        <v>16900</v>
      </c>
      <c r="N10" s="5">
        <v>19000</v>
      </c>
    </row>
    <row r="11" spans="2:14" x14ac:dyDescent="0.3">
      <c r="B11">
        <v>7</v>
      </c>
      <c r="C11">
        <v>12300</v>
      </c>
      <c r="D11">
        <v>14000</v>
      </c>
      <c r="L11" s="5">
        <f t="shared" si="0"/>
        <v>7</v>
      </c>
      <c r="M11" s="5">
        <v>16900</v>
      </c>
      <c r="N11" s="5">
        <v>20000</v>
      </c>
    </row>
    <row r="12" spans="2:14" x14ac:dyDescent="0.3">
      <c r="B12">
        <v>8</v>
      </c>
      <c r="C12">
        <v>12600</v>
      </c>
      <c r="D12">
        <v>14000</v>
      </c>
      <c r="L12" s="5">
        <f t="shared" si="0"/>
        <v>8</v>
      </c>
      <c r="M12" s="5">
        <v>17500</v>
      </c>
      <c r="N12" s="5">
        <v>20000</v>
      </c>
    </row>
    <row r="13" spans="2:14" x14ac:dyDescent="0.3">
      <c r="B13">
        <v>9</v>
      </c>
      <c r="C13">
        <v>13200</v>
      </c>
      <c r="D13">
        <v>14000</v>
      </c>
      <c r="L13" s="5">
        <f t="shared" si="0"/>
        <v>9</v>
      </c>
      <c r="M13" s="5">
        <v>18100</v>
      </c>
      <c r="N13" s="5">
        <v>20000</v>
      </c>
    </row>
    <row r="14" spans="2:14" x14ac:dyDescent="0.3">
      <c r="B14">
        <v>10</v>
      </c>
      <c r="C14">
        <v>13000</v>
      </c>
      <c r="D14">
        <v>15000</v>
      </c>
      <c r="L14" s="5">
        <f t="shared" si="0"/>
        <v>10</v>
      </c>
      <c r="M14" s="5">
        <v>17200</v>
      </c>
      <c r="N14" s="5">
        <v>21000</v>
      </c>
    </row>
    <row r="15" spans="2:14" x14ac:dyDescent="0.3">
      <c r="B15">
        <v>11</v>
      </c>
      <c r="C15">
        <v>13300</v>
      </c>
      <c r="D15">
        <v>15000</v>
      </c>
      <c r="L15" s="5">
        <f t="shared" si="0"/>
        <v>11</v>
      </c>
      <c r="M15" s="5">
        <v>17800</v>
      </c>
      <c r="N15" s="5">
        <v>21000</v>
      </c>
    </row>
    <row r="16" spans="2:14" x14ac:dyDescent="0.3">
      <c r="B16">
        <v>12</v>
      </c>
      <c r="C16">
        <v>13600</v>
      </c>
      <c r="D16">
        <v>15000</v>
      </c>
      <c r="L16" s="5">
        <f t="shared" si="0"/>
        <v>12</v>
      </c>
      <c r="M16" s="5">
        <v>18500</v>
      </c>
      <c r="N16" s="5">
        <v>21000</v>
      </c>
    </row>
    <row r="20" spans="2:19" x14ac:dyDescent="0.3">
      <c r="N20" t="s">
        <v>72</v>
      </c>
    </row>
    <row r="21" spans="2:19" ht="15" thickBot="1" x14ac:dyDescent="0.35">
      <c r="B21" t="s">
        <v>72</v>
      </c>
    </row>
    <row r="22" spans="2:19" ht="15" thickBot="1" x14ac:dyDescent="0.35">
      <c r="N22" s="10" t="s">
        <v>73</v>
      </c>
      <c r="O22" s="10"/>
    </row>
    <row r="23" spans="2:19" x14ac:dyDescent="0.3">
      <c r="B23" s="10" t="s">
        <v>73</v>
      </c>
      <c r="C23" s="10"/>
      <c r="N23" s="7" t="s">
        <v>74</v>
      </c>
      <c r="O23" s="7">
        <v>0.84519275746217482</v>
      </c>
    </row>
    <row r="24" spans="2:19" x14ac:dyDescent="0.3">
      <c r="B24" s="7" t="s">
        <v>74</v>
      </c>
      <c r="C24" s="7">
        <v>0.95268002082029501</v>
      </c>
      <c r="N24" s="7" t="s">
        <v>75</v>
      </c>
      <c r="O24" s="7">
        <v>0.71435079726651474</v>
      </c>
    </row>
    <row r="25" spans="2:19" x14ac:dyDescent="0.3">
      <c r="B25" s="7" t="s">
        <v>75</v>
      </c>
      <c r="C25" s="7">
        <v>0.90759922207015775</v>
      </c>
      <c r="N25" s="7" t="s">
        <v>76</v>
      </c>
      <c r="O25" s="7">
        <v>0.68578587699316618</v>
      </c>
    </row>
    <row r="26" spans="2:19" x14ac:dyDescent="0.3">
      <c r="B26" s="7" t="s">
        <v>76</v>
      </c>
      <c r="C26" s="7">
        <v>0.89835914427717345</v>
      </c>
      <c r="N26" s="7" t="s">
        <v>77</v>
      </c>
      <c r="O26" s="7">
        <v>578.27329179203832</v>
      </c>
    </row>
    <row r="27" spans="2:19" ht="15" thickBot="1" x14ac:dyDescent="0.35">
      <c r="B27" s="7" t="s">
        <v>77</v>
      </c>
      <c r="C27" s="7">
        <v>326.95565448543624</v>
      </c>
      <c r="N27" s="8" t="s">
        <v>78</v>
      </c>
      <c r="O27" s="8">
        <v>12</v>
      </c>
    </row>
    <row r="28" spans="2:19" ht="15" thickBot="1" x14ac:dyDescent="0.35">
      <c r="B28" s="8" t="s">
        <v>78</v>
      </c>
      <c r="C28" s="8">
        <v>12</v>
      </c>
    </row>
    <row r="29" spans="2:19" ht="15" thickBot="1" x14ac:dyDescent="0.35">
      <c r="N29" t="s">
        <v>79</v>
      </c>
    </row>
    <row r="30" spans="2:19" ht="15" thickBot="1" x14ac:dyDescent="0.35">
      <c r="B30" t="s">
        <v>79</v>
      </c>
      <c r="N30" s="9"/>
      <c r="O30" s="9" t="s">
        <v>84</v>
      </c>
      <c r="P30" s="9" t="s">
        <v>85</v>
      </c>
      <c r="Q30" s="9" t="s">
        <v>86</v>
      </c>
      <c r="R30" s="9" t="s">
        <v>87</v>
      </c>
      <c r="S30" s="9" t="s">
        <v>88</v>
      </c>
    </row>
    <row r="31" spans="2:19" x14ac:dyDescent="0.3">
      <c r="B31" s="9"/>
      <c r="C31" s="9" t="s">
        <v>84</v>
      </c>
      <c r="D31" s="9" t="s">
        <v>85</v>
      </c>
      <c r="E31" s="9" t="s">
        <v>86</v>
      </c>
      <c r="F31" s="9" t="s">
        <v>87</v>
      </c>
      <c r="G31" s="9" t="s">
        <v>88</v>
      </c>
      <c r="N31" s="7" t="s">
        <v>80</v>
      </c>
      <c r="O31" s="7">
        <v>1</v>
      </c>
      <c r="P31" s="7">
        <v>8362666.666666666</v>
      </c>
      <c r="Q31" s="7">
        <v>8362666.666666666</v>
      </c>
      <c r="R31" s="7">
        <v>25.007974481658696</v>
      </c>
      <c r="S31" s="7">
        <v>5.3670246797128164E-4</v>
      </c>
    </row>
    <row r="32" spans="2:19" x14ac:dyDescent="0.3">
      <c r="B32" s="7" t="s">
        <v>80</v>
      </c>
      <c r="C32" s="7">
        <v>1</v>
      </c>
      <c r="D32" s="7">
        <v>10500166.666666668</v>
      </c>
      <c r="E32" s="7">
        <v>10500166.666666668</v>
      </c>
      <c r="F32" s="7">
        <v>98.224197068911792</v>
      </c>
      <c r="G32" s="7">
        <v>1.7254801836489465E-6</v>
      </c>
      <c r="N32" s="7" t="s">
        <v>81</v>
      </c>
      <c r="O32" s="7">
        <v>10</v>
      </c>
      <c r="P32" s="11">
        <v>3343999.9999999995</v>
      </c>
      <c r="Q32" s="7">
        <v>334399.99999999994</v>
      </c>
      <c r="R32" s="7"/>
      <c r="S32" s="7"/>
    </row>
    <row r="33" spans="2:22" ht="15" thickBot="1" x14ac:dyDescent="0.35">
      <c r="B33" s="7" t="s">
        <v>81</v>
      </c>
      <c r="C33" s="7">
        <v>10</v>
      </c>
      <c r="D33" s="11">
        <v>1068999.9999999998</v>
      </c>
      <c r="E33" s="7">
        <v>106899.99999999997</v>
      </c>
      <c r="F33" s="7"/>
      <c r="G33" s="7"/>
      <c r="N33" s="8" t="s">
        <v>82</v>
      </c>
      <c r="O33" s="8">
        <v>11</v>
      </c>
      <c r="P33" s="8">
        <v>11706666.666666666</v>
      </c>
      <c r="Q33" s="8"/>
      <c r="R33" s="8"/>
      <c r="S33" s="8"/>
    </row>
    <row r="34" spans="2:22" ht="15" thickBot="1" x14ac:dyDescent="0.35">
      <c r="B34" s="8" t="s">
        <v>82</v>
      </c>
      <c r="C34" s="8">
        <v>11</v>
      </c>
      <c r="D34" s="8">
        <v>11569166.666666668</v>
      </c>
      <c r="E34" s="8"/>
      <c r="F34" s="8"/>
      <c r="G34" s="8"/>
    </row>
    <row r="35" spans="2:22" ht="15" thickBot="1" x14ac:dyDescent="0.35">
      <c r="N35" s="9"/>
      <c r="O35" s="9" t="s">
        <v>89</v>
      </c>
      <c r="P35" s="9" t="s">
        <v>77</v>
      </c>
      <c r="Q35" s="9" t="s">
        <v>90</v>
      </c>
      <c r="R35" s="9" t="s">
        <v>91</v>
      </c>
      <c r="S35" s="9" t="s">
        <v>92</v>
      </c>
      <c r="T35" s="9" t="s">
        <v>93</v>
      </c>
      <c r="U35" s="9" t="s">
        <v>94</v>
      </c>
      <c r="V35" s="9" t="s">
        <v>95</v>
      </c>
    </row>
    <row r="36" spans="2:22" x14ac:dyDescent="0.3">
      <c r="B36" s="9"/>
      <c r="C36" s="9" t="s">
        <v>89</v>
      </c>
      <c r="D36" s="9" t="s">
        <v>77</v>
      </c>
      <c r="E36" s="9" t="s">
        <v>90</v>
      </c>
      <c r="F36" s="9" t="s">
        <v>91</v>
      </c>
      <c r="G36" s="9" t="s">
        <v>92</v>
      </c>
      <c r="H36" s="9" t="s">
        <v>93</v>
      </c>
      <c r="I36" s="9" t="s">
        <v>94</v>
      </c>
      <c r="J36" s="9" t="s">
        <v>95</v>
      </c>
      <c r="N36" s="7" t="s">
        <v>83</v>
      </c>
      <c r="O36" s="7">
        <v>2306.6666666666697</v>
      </c>
      <c r="P36" s="7">
        <v>2916.3173124107502</v>
      </c>
      <c r="Q36" s="7">
        <v>0.79095188196783783</v>
      </c>
      <c r="R36" s="7">
        <v>0.44732500760474125</v>
      </c>
      <c r="S36" s="7">
        <v>-4191.293241835916</v>
      </c>
      <c r="T36" s="7">
        <v>8804.6265751692554</v>
      </c>
      <c r="U36" s="7">
        <v>-4191.293241835916</v>
      </c>
      <c r="V36" s="7">
        <v>8804.6265751692554</v>
      </c>
    </row>
    <row r="37" spans="2:22" ht="15" thickBot="1" x14ac:dyDescent="0.35">
      <c r="B37" s="7" t="s">
        <v>83</v>
      </c>
      <c r="C37" s="7">
        <v>846.6666666666697</v>
      </c>
      <c r="D37" s="7">
        <v>1143.5660598904346</v>
      </c>
      <c r="E37" s="7">
        <v>0.7403740775130988</v>
      </c>
      <c r="F37" s="7">
        <v>0.4760968439769232</v>
      </c>
      <c r="G37" s="7">
        <v>-1701.3573011880703</v>
      </c>
      <c r="H37" s="7">
        <v>3394.6906345214097</v>
      </c>
      <c r="I37" s="7">
        <v>-1701.3573011880703</v>
      </c>
      <c r="J37" s="7">
        <v>3394.6906345214097</v>
      </c>
      <c r="N37" s="8" t="s">
        <v>96</v>
      </c>
      <c r="O37" s="8">
        <v>0.74666666666666659</v>
      </c>
      <c r="P37" s="8">
        <v>0.14930952191114044</v>
      </c>
      <c r="Q37" s="8">
        <v>5.0007973845836515</v>
      </c>
      <c r="R37" s="8">
        <v>5.3670246797128164E-4</v>
      </c>
      <c r="S37" s="8">
        <v>0.41398431992495865</v>
      </c>
      <c r="T37" s="8">
        <v>1.0793490134083745</v>
      </c>
      <c r="U37" s="8">
        <v>0.41398431992495865</v>
      </c>
      <c r="V37" s="8">
        <v>1.0793490134083745</v>
      </c>
    </row>
    <row r="38" spans="2:22" ht="15" thickBot="1" x14ac:dyDescent="0.35">
      <c r="B38" s="8" t="s">
        <v>96</v>
      </c>
      <c r="C38" s="8">
        <v>0.83666666666666645</v>
      </c>
      <c r="D38" s="8">
        <v>8.4419586984696066E-2</v>
      </c>
      <c r="E38" s="8">
        <v>9.9108121296345697</v>
      </c>
      <c r="F38" s="8">
        <v>1.7254801836489526E-6</v>
      </c>
      <c r="G38" s="8">
        <v>0.64856810503743034</v>
      </c>
      <c r="H38" s="8">
        <v>1.0247652282959026</v>
      </c>
      <c r="I38" s="8">
        <v>0.64856810503743034</v>
      </c>
      <c r="J38" s="8">
        <v>1.0247652282959026</v>
      </c>
    </row>
    <row r="41" spans="2:22" x14ac:dyDescent="0.3">
      <c r="N41" t="s">
        <v>97</v>
      </c>
    </row>
    <row r="42" spans="2:22" ht="15" thickBot="1" x14ac:dyDescent="0.35">
      <c r="B42" t="s">
        <v>97</v>
      </c>
    </row>
    <row r="43" spans="2:22" ht="15" thickBot="1" x14ac:dyDescent="0.35">
      <c r="N43" s="9" t="s">
        <v>98</v>
      </c>
      <c r="O43" s="9" t="s">
        <v>99</v>
      </c>
      <c r="P43" s="9" t="s">
        <v>100</v>
      </c>
    </row>
    <row r="44" spans="2:22" x14ac:dyDescent="0.3">
      <c r="B44" s="9" t="s">
        <v>98</v>
      </c>
      <c r="C44" s="9" t="s">
        <v>99</v>
      </c>
      <c r="D44" s="9" t="s">
        <v>100</v>
      </c>
      <c r="N44" s="7">
        <v>1</v>
      </c>
      <c r="O44" s="7">
        <v>15746.666666666668</v>
      </c>
      <c r="P44" s="7">
        <v>-746.66666666666788</v>
      </c>
    </row>
    <row r="45" spans="2:22" x14ac:dyDescent="0.3">
      <c r="B45" s="7">
        <v>1</v>
      </c>
      <c r="C45" s="7">
        <v>10886.666666666668</v>
      </c>
      <c r="D45" s="7">
        <v>-286.66666666666788</v>
      </c>
      <c r="N45" s="7">
        <v>2</v>
      </c>
      <c r="O45" s="7">
        <v>15746.666666666668</v>
      </c>
      <c r="P45" s="7">
        <v>-46.666666666667879</v>
      </c>
    </row>
    <row r="46" spans="2:22" x14ac:dyDescent="0.3">
      <c r="B46" s="7">
        <v>2</v>
      </c>
      <c r="C46" s="7">
        <v>10886.666666666668</v>
      </c>
      <c r="D46" s="7">
        <v>-86.666666666667879</v>
      </c>
      <c r="N46" s="7">
        <v>3</v>
      </c>
      <c r="O46" s="7">
        <v>15746.666666666668</v>
      </c>
      <c r="P46" s="7">
        <v>653.33333333333212</v>
      </c>
    </row>
    <row r="47" spans="2:22" x14ac:dyDescent="0.3">
      <c r="B47" s="7">
        <v>3</v>
      </c>
      <c r="C47" s="7">
        <v>10886.666666666668</v>
      </c>
      <c r="D47" s="7">
        <v>213.33333333333212</v>
      </c>
      <c r="N47" s="7">
        <v>4</v>
      </c>
      <c r="O47" s="7">
        <v>16493.333333333336</v>
      </c>
      <c r="P47" s="7">
        <v>-593.33333333333576</v>
      </c>
    </row>
    <row r="48" spans="2:22" x14ac:dyDescent="0.3">
      <c r="B48" s="7">
        <v>4</v>
      </c>
      <c r="C48" s="7">
        <v>11723.333333333334</v>
      </c>
      <c r="D48" s="7">
        <v>-323.33333333333394</v>
      </c>
      <c r="N48" s="7">
        <v>5</v>
      </c>
      <c r="O48" s="7">
        <v>16493.333333333336</v>
      </c>
      <c r="P48" s="7">
        <v>6.6666666666642413</v>
      </c>
    </row>
    <row r="49" spans="2:16" x14ac:dyDescent="0.3">
      <c r="B49" s="7">
        <v>5</v>
      </c>
      <c r="C49" s="7">
        <v>11723.333333333334</v>
      </c>
      <c r="D49" s="7">
        <v>-23.33333333333394</v>
      </c>
      <c r="N49" s="7">
        <v>6</v>
      </c>
      <c r="O49" s="7">
        <v>16493.333333333336</v>
      </c>
      <c r="P49" s="7">
        <v>406.66666666666424</v>
      </c>
    </row>
    <row r="50" spans="2:16" x14ac:dyDescent="0.3">
      <c r="B50" s="7">
        <v>6</v>
      </c>
      <c r="C50" s="7">
        <v>11723.333333333334</v>
      </c>
      <c r="D50" s="7">
        <v>376.66666666666606</v>
      </c>
      <c r="N50" s="7">
        <v>7</v>
      </c>
      <c r="O50" s="7">
        <v>17240</v>
      </c>
      <c r="P50" s="7">
        <v>-340</v>
      </c>
    </row>
    <row r="51" spans="2:16" x14ac:dyDescent="0.3">
      <c r="B51" s="7">
        <v>7</v>
      </c>
      <c r="C51" s="7">
        <v>12560</v>
      </c>
      <c r="D51" s="7">
        <v>-260</v>
      </c>
      <c r="N51" s="7">
        <v>8</v>
      </c>
      <c r="O51" s="7">
        <v>17240</v>
      </c>
      <c r="P51" s="7">
        <v>260</v>
      </c>
    </row>
    <row r="52" spans="2:16" x14ac:dyDescent="0.3">
      <c r="B52" s="7">
        <v>8</v>
      </c>
      <c r="C52" s="7">
        <v>12560</v>
      </c>
      <c r="D52" s="7">
        <v>40</v>
      </c>
      <c r="N52" s="7">
        <v>9</v>
      </c>
      <c r="O52" s="7">
        <v>17240</v>
      </c>
      <c r="P52" s="7">
        <v>860</v>
      </c>
    </row>
    <row r="53" spans="2:16" x14ac:dyDescent="0.3">
      <c r="B53" s="7">
        <v>9</v>
      </c>
      <c r="C53" s="7">
        <v>12560</v>
      </c>
      <c r="D53" s="7">
        <v>640</v>
      </c>
      <c r="N53" s="7">
        <v>10</v>
      </c>
      <c r="O53" s="7">
        <v>17986.666666666668</v>
      </c>
      <c r="P53" s="7">
        <v>-786.66666666666788</v>
      </c>
    </row>
    <row r="54" spans="2:16" x14ac:dyDescent="0.3">
      <c r="B54" s="7">
        <v>10</v>
      </c>
      <c r="C54" s="7">
        <v>13396.666666666666</v>
      </c>
      <c r="D54" s="7">
        <v>-396.66666666666606</v>
      </c>
      <c r="N54" s="7">
        <v>11</v>
      </c>
      <c r="O54" s="7">
        <v>17986.666666666668</v>
      </c>
      <c r="P54" s="7">
        <v>-186.66666666666788</v>
      </c>
    </row>
    <row r="55" spans="2:16" ht="15" thickBot="1" x14ac:dyDescent="0.35">
      <c r="B55" s="7">
        <v>11</v>
      </c>
      <c r="C55" s="7">
        <v>13396.666666666666</v>
      </c>
      <c r="D55" s="7">
        <v>-96.66666666666606</v>
      </c>
      <c r="N55" s="8">
        <v>12</v>
      </c>
      <c r="O55" s="8">
        <v>17986.666666666668</v>
      </c>
      <c r="P55" s="8">
        <v>513.33333333333212</v>
      </c>
    </row>
    <row r="56" spans="2:16" ht="15" thickBot="1" x14ac:dyDescent="0.35">
      <c r="B56" s="8">
        <v>12</v>
      </c>
      <c r="C56" s="8">
        <v>13396.666666666666</v>
      </c>
      <c r="D56" s="8">
        <v>203.33333333333394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E5D4-6DD4-4C29-87F7-59B81144AB49}">
  <dimension ref="A1:I18"/>
  <sheetViews>
    <sheetView topLeftCell="A3" zoomScale="75" workbookViewId="0">
      <selection activeCell="K8" sqref="K8"/>
    </sheetView>
  </sheetViews>
  <sheetFormatPr defaultRowHeight="14.4" x14ac:dyDescent="0.3"/>
  <sheetData>
    <row r="1" spans="1:9" x14ac:dyDescent="0.3">
      <c r="A1" t="s">
        <v>72</v>
      </c>
    </row>
    <row r="2" spans="1:9" ht="15" thickBot="1" x14ac:dyDescent="0.35"/>
    <row r="3" spans="1:9" x14ac:dyDescent="0.3">
      <c r="A3" s="10" t="s">
        <v>73</v>
      </c>
      <c r="B3" s="10"/>
    </row>
    <row r="4" spans="1:9" x14ac:dyDescent="0.3">
      <c r="A4" s="7" t="s">
        <v>74</v>
      </c>
      <c r="B4" s="7">
        <v>0.98415636752075042</v>
      </c>
    </row>
    <row r="5" spans="1:9" x14ac:dyDescent="0.3">
      <c r="A5" s="7" t="s">
        <v>75</v>
      </c>
      <c r="B5" s="7">
        <v>0.96856375573163833</v>
      </c>
    </row>
    <row r="6" spans="1:9" x14ac:dyDescent="0.3">
      <c r="A6" s="7" t="s">
        <v>76</v>
      </c>
      <c r="B6" s="7">
        <v>0.96744103272205406</v>
      </c>
    </row>
    <row r="7" spans="1:9" x14ac:dyDescent="0.3">
      <c r="A7" s="7" t="s">
        <v>77</v>
      </c>
      <c r="B7" s="7">
        <v>422.33119274289498</v>
      </c>
    </row>
    <row r="8" spans="1:9" ht="15" thickBot="1" x14ac:dyDescent="0.35">
      <c r="A8" s="8" t="s">
        <v>78</v>
      </c>
      <c r="B8" s="8">
        <v>30</v>
      </c>
    </row>
    <row r="10" spans="1:9" ht="15" thickBot="1" x14ac:dyDescent="0.35">
      <c r="A10" t="s">
        <v>79</v>
      </c>
    </row>
    <row r="11" spans="1:9" x14ac:dyDescent="0.3">
      <c r="A11" s="9"/>
      <c r="B11" s="9" t="s">
        <v>84</v>
      </c>
      <c r="C11" s="9" t="s">
        <v>85</v>
      </c>
      <c r="D11" s="9" t="s">
        <v>86</v>
      </c>
      <c r="E11" s="9" t="s">
        <v>87</v>
      </c>
      <c r="F11" s="9" t="s">
        <v>88</v>
      </c>
    </row>
    <row r="12" spans="1:9" x14ac:dyDescent="0.3">
      <c r="A12" s="7" t="s">
        <v>80</v>
      </c>
      <c r="B12" s="7">
        <v>1</v>
      </c>
      <c r="C12" s="7">
        <v>153872818.18181819</v>
      </c>
      <c r="D12" s="7">
        <v>153872818.18181819</v>
      </c>
      <c r="E12" s="7">
        <v>862.69164118246727</v>
      </c>
      <c r="F12" s="7">
        <v>1.3963060250998746E-22</v>
      </c>
    </row>
    <row r="13" spans="1:9" x14ac:dyDescent="0.3">
      <c r="A13" s="7" t="s">
        <v>81</v>
      </c>
      <c r="B13" s="7">
        <v>28</v>
      </c>
      <c r="C13" s="7">
        <v>4994181.8181818165</v>
      </c>
      <c r="D13" s="7">
        <v>178363.63636363629</v>
      </c>
      <c r="E13" s="7"/>
      <c r="F13" s="7"/>
    </row>
    <row r="14" spans="1:9" ht="15" thickBot="1" x14ac:dyDescent="0.35">
      <c r="A14" s="8" t="s">
        <v>82</v>
      </c>
      <c r="B14" s="8">
        <v>29</v>
      </c>
      <c r="C14" s="8">
        <v>158867000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89</v>
      </c>
      <c r="C16" s="9" t="s">
        <v>77</v>
      </c>
      <c r="D16" s="9" t="s">
        <v>90</v>
      </c>
      <c r="E16" s="9" t="s">
        <v>91</v>
      </c>
      <c r="F16" s="9" t="s">
        <v>92</v>
      </c>
      <c r="G16" s="9" t="s">
        <v>93</v>
      </c>
      <c r="H16" s="9" t="s">
        <v>94</v>
      </c>
      <c r="I16" s="9" t="s">
        <v>95</v>
      </c>
    </row>
    <row r="17" spans="1:9" x14ac:dyDescent="0.3">
      <c r="A17" s="7" t="s">
        <v>83</v>
      </c>
      <c r="B17" s="7">
        <v>1480.0000000000036</v>
      </c>
      <c r="C17" s="7">
        <v>449.60588802356051</v>
      </c>
      <c r="D17" s="7">
        <v>3.2917718371215989</v>
      </c>
      <c r="E17" s="7">
        <v>2.696543417939901E-3</v>
      </c>
      <c r="F17" s="7">
        <v>559.02408797934925</v>
      </c>
      <c r="G17" s="7">
        <v>2400.9759120206581</v>
      </c>
      <c r="H17" s="7">
        <v>559.02408797934925</v>
      </c>
      <c r="I17" s="7">
        <v>2400.9759120206581</v>
      </c>
    </row>
    <row r="18" spans="1:9" ht="15" thickBot="1" x14ac:dyDescent="0.35">
      <c r="A18" s="8" t="s">
        <v>96</v>
      </c>
      <c r="B18" s="8">
        <v>0.78848484848484823</v>
      </c>
      <c r="C18" s="8">
        <v>2.6845132836787994E-2</v>
      </c>
      <c r="D18" s="8">
        <v>29.371612846121796</v>
      </c>
      <c r="E18" s="8">
        <v>1.3963060250998845E-22</v>
      </c>
      <c r="F18" s="8">
        <v>0.73349508665952967</v>
      </c>
      <c r="G18" s="8">
        <v>0.84347461031016679</v>
      </c>
      <c r="H18" s="8">
        <v>0.73349508665952967</v>
      </c>
      <c r="I18" s="8">
        <v>0.84347461031016679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99AE-859D-4A0D-99A0-E9C3F5075B56}">
  <dimension ref="A1:I54"/>
  <sheetViews>
    <sheetView topLeftCell="A19" zoomScale="105" workbookViewId="0">
      <selection activeCell="C25" sqref="C25:C36"/>
    </sheetView>
  </sheetViews>
  <sheetFormatPr defaultRowHeight="14.4" x14ac:dyDescent="0.3"/>
  <sheetData>
    <row r="1" spans="1:9" x14ac:dyDescent="0.3">
      <c r="A1" t="s">
        <v>72</v>
      </c>
    </row>
    <row r="2" spans="1:9" ht="15" thickBot="1" x14ac:dyDescent="0.35"/>
    <row r="3" spans="1:9" x14ac:dyDescent="0.3">
      <c r="A3" s="10" t="s">
        <v>73</v>
      </c>
      <c r="B3" s="10"/>
    </row>
    <row r="4" spans="1:9" x14ac:dyDescent="0.3">
      <c r="A4" s="7" t="s">
        <v>74</v>
      </c>
      <c r="B4" s="7">
        <v>0.98415636752075042</v>
      </c>
    </row>
    <row r="5" spans="1:9" x14ac:dyDescent="0.3">
      <c r="A5" s="7" t="s">
        <v>75</v>
      </c>
      <c r="B5" s="7">
        <v>0.96856375573163833</v>
      </c>
    </row>
    <row r="6" spans="1:9" x14ac:dyDescent="0.3">
      <c r="A6" s="7" t="s">
        <v>76</v>
      </c>
      <c r="B6" s="7">
        <v>0.96744103272205406</v>
      </c>
    </row>
    <row r="7" spans="1:9" x14ac:dyDescent="0.3">
      <c r="A7" s="7" t="s">
        <v>77</v>
      </c>
      <c r="B7" s="7">
        <v>422.33119274289498</v>
      </c>
    </row>
    <row r="8" spans="1:9" ht="15" thickBot="1" x14ac:dyDescent="0.35">
      <c r="A8" s="8" t="s">
        <v>78</v>
      </c>
      <c r="B8" s="8">
        <v>30</v>
      </c>
    </row>
    <row r="10" spans="1:9" ht="15" thickBot="1" x14ac:dyDescent="0.35">
      <c r="A10" t="s">
        <v>79</v>
      </c>
    </row>
    <row r="11" spans="1:9" x14ac:dyDescent="0.3">
      <c r="A11" s="9"/>
      <c r="B11" s="9" t="s">
        <v>84</v>
      </c>
      <c r="C11" s="9" t="s">
        <v>85</v>
      </c>
      <c r="D11" s="9" t="s">
        <v>86</v>
      </c>
      <c r="E11" s="9" t="s">
        <v>87</v>
      </c>
      <c r="F11" s="9" t="s">
        <v>88</v>
      </c>
    </row>
    <row r="12" spans="1:9" x14ac:dyDescent="0.3">
      <c r="A12" s="7" t="s">
        <v>80</v>
      </c>
      <c r="B12" s="7">
        <v>1</v>
      </c>
      <c r="C12" s="7">
        <v>153872818.18181819</v>
      </c>
      <c r="D12" s="7">
        <v>153872818.18181819</v>
      </c>
      <c r="E12" s="7">
        <v>862.69164118246727</v>
      </c>
      <c r="F12" s="7">
        <v>1.3963060250998746E-22</v>
      </c>
    </row>
    <row r="13" spans="1:9" x14ac:dyDescent="0.3">
      <c r="A13" s="7" t="s">
        <v>81</v>
      </c>
      <c r="B13" s="7">
        <v>28</v>
      </c>
      <c r="C13" s="7">
        <v>4994181.8181818165</v>
      </c>
      <c r="D13" s="7">
        <v>178363.63636363629</v>
      </c>
      <c r="E13" s="7"/>
      <c r="F13" s="7"/>
    </row>
    <row r="14" spans="1:9" ht="15" thickBot="1" x14ac:dyDescent="0.35">
      <c r="A14" s="8" t="s">
        <v>82</v>
      </c>
      <c r="B14" s="8">
        <v>29</v>
      </c>
      <c r="C14" s="8">
        <v>158867000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89</v>
      </c>
      <c r="C16" s="9" t="s">
        <v>77</v>
      </c>
      <c r="D16" s="9" t="s">
        <v>90</v>
      </c>
      <c r="E16" s="9" t="s">
        <v>91</v>
      </c>
      <c r="F16" s="9" t="s">
        <v>92</v>
      </c>
      <c r="G16" s="9" t="s">
        <v>93</v>
      </c>
      <c r="H16" s="9" t="s">
        <v>94</v>
      </c>
      <c r="I16" s="9" t="s">
        <v>95</v>
      </c>
    </row>
    <row r="17" spans="1:9" x14ac:dyDescent="0.3">
      <c r="A17" s="7" t="s">
        <v>83</v>
      </c>
      <c r="B17" s="7">
        <v>1480.0000000000036</v>
      </c>
      <c r="C17" s="7">
        <v>449.60588802356051</v>
      </c>
      <c r="D17" s="7">
        <v>3.2917718371215989</v>
      </c>
      <c r="E17" s="7">
        <v>2.696543417939901E-3</v>
      </c>
      <c r="F17" s="7">
        <v>559.02408797934925</v>
      </c>
      <c r="G17" s="7">
        <v>2400.9759120206581</v>
      </c>
      <c r="H17" s="7">
        <v>559.02408797934925</v>
      </c>
      <c r="I17" s="7">
        <v>2400.9759120206581</v>
      </c>
    </row>
    <row r="18" spans="1:9" ht="15" thickBot="1" x14ac:dyDescent="0.35">
      <c r="A18" s="8" t="s">
        <v>96</v>
      </c>
      <c r="B18" s="8">
        <v>0.78848484848484823</v>
      </c>
      <c r="C18" s="8">
        <v>2.6845132836787994E-2</v>
      </c>
      <c r="D18" s="8">
        <v>29.371612846121796</v>
      </c>
      <c r="E18" s="8">
        <v>1.3963060250998845E-22</v>
      </c>
      <c r="F18" s="8">
        <v>0.73349508665952967</v>
      </c>
      <c r="G18" s="8">
        <v>0.84347461031016679</v>
      </c>
      <c r="H18" s="8">
        <v>0.73349508665952967</v>
      </c>
      <c r="I18" s="8">
        <v>0.84347461031016679</v>
      </c>
    </row>
    <row r="22" spans="1:9" x14ac:dyDescent="0.3">
      <c r="A22" t="s">
        <v>97</v>
      </c>
    </row>
    <row r="23" spans="1:9" ht="15" thickBot="1" x14ac:dyDescent="0.35"/>
    <row r="24" spans="1:9" x14ac:dyDescent="0.3">
      <c r="A24" s="9" t="s">
        <v>98</v>
      </c>
      <c r="B24" s="9" t="s">
        <v>99</v>
      </c>
      <c r="C24" s="9" t="s">
        <v>100</v>
      </c>
    </row>
    <row r="25" spans="1:9" x14ac:dyDescent="0.3">
      <c r="A25" s="7">
        <v>1</v>
      </c>
      <c r="B25" s="7">
        <v>10941.818181818182</v>
      </c>
      <c r="C25" s="7">
        <v>-341.81818181818198</v>
      </c>
    </row>
    <row r="26" spans="1:9" x14ac:dyDescent="0.3">
      <c r="A26" s="7">
        <v>2</v>
      </c>
      <c r="B26" s="7">
        <v>10941.818181818182</v>
      </c>
      <c r="C26" s="7">
        <v>-141.81818181818198</v>
      </c>
    </row>
    <row r="27" spans="1:9" x14ac:dyDescent="0.3">
      <c r="A27" s="7">
        <v>3</v>
      </c>
      <c r="B27" s="7">
        <v>10941.818181818182</v>
      </c>
      <c r="C27" s="7">
        <v>158.18181818181802</v>
      </c>
    </row>
    <row r="28" spans="1:9" x14ac:dyDescent="0.3">
      <c r="A28" s="7">
        <v>4</v>
      </c>
      <c r="B28" s="7">
        <v>11730.30303030303</v>
      </c>
      <c r="C28" s="7">
        <v>-330.30303030303003</v>
      </c>
    </row>
    <row r="29" spans="1:9" x14ac:dyDescent="0.3">
      <c r="A29" s="7">
        <v>5</v>
      </c>
      <c r="B29" s="7">
        <v>11730.30303030303</v>
      </c>
      <c r="C29" s="7">
        <v>-30.303030303030027</v>
      </c>
    </row>
    <row r="30" spans="1:9" x14ac:dyDescent="0.3">
      <c r="A30" s="7">
        <v>6</v>
      </c>
      <c r="B30" s="7">
        <v>11730.30303030303</v>
      </c>
      <c r="C30" s="7">
        <v>369.69696969696997</v>
      </c>
    </row>
    <row r="31" spans="1:9" x14ac:dyDescent="0.3">
      <c r="A31" s="7">
        <v>7</v>
      </c>
      <c r="B31" s="7">
        <v>12518.787878787878</v>
      </c>
      <c r="C31" s="7">
        <v>-218.78787878787807</v>
      </c>
    </row>
    <row r="32" spans="1:9" x14ac:dyDescent="0.3">
      <c r="A32" s="7">
        <v>8</v>
      </c>
      <c r="B32" s="7">
        <v>12518.787878787878</v>
      </c>
      <c r="C32" s="7">
        <v>81.212121212121929</v>
      </c>
    </row>
    <row r="33" spans="1:3" x14ac:dyDescent="0.3">
      <c r="A33" s="7">
        <v>9</v>
      </c>
      <c r="B33" s="7">
        <v>12518.787878787878</v>
      </c>
      <c r="C33" s="7">
        <v>681.21212121212193</v>
      </c>
    </row>
    <row r="34" spans="1:3" x14ac:dyDescent="0.3">
      <c r="A34" s="7">
        <v>10</v>
      </c>
      <c r="B34" s="7">
        <v>13307.272727272728</v>
      </c>
      <c r="C34" s="7">
        <v>-307.27272727272793</v>
      </c>
    </row>
    <row r="35" spans="1:3" x14ac:dyDescent="0.3">
      <c r="A35" s="7">
        <v>11</v>
      </c>
      <c r="B35" s="7">
        <v>13307.272727272728</v>
      </c>
      <c r="C35" s="7">
        <v>-7.2727272727279342</v>
      </c>
    </row>
    <row r="36" spans="1:3" x14ac:dyDescent="0.3">
      <c r="A36" s="7">
        <v>12</v>
      </c>
      <c r="B36" s="7">
        <v>13307.272727272728</v>
      </c>
      <c r="C36" s="7">
        <v>292.72727272727207</v>
      </c>
    </row>
    <row r="37" spans="1:3" x14ac:dyDescent="0.3">
      <c r="A37" s="7">
        <v>13</v>
      </c>
      <c r="B37" s="7">
        <v>14095.757575757576</v>
      </c>
      <c r="C37" s="7">
        <v>-295.75757575757598</v>
      </c>
    </row>
    <row r="38" spans="1:3" x14ac:dyDescent="0.3">
      <c r="A38" s="7">
        <v>14</v>
      </c>
      <c r="B38" s="7">
        <v>14095.757575757576</v>
      </c>
      <c r="C38" s="7">
        <v>-95.757575757575978</v>
      </c>
    </row>
    <row r="39" spans="1:3" x14ac:dyDescent="0.3">
      <c r="A39" s="7">
        <v>15</v>
      </c>
      <c r="B39" s="7">
        <v>14095.757575757576</v>
      </c>
      <c r="C39" s="7">
        <v>104.24242424242402</v>
      </c>
    </row>
    <row r="40" spans="1:3" x14ac:dyDescent="0.3">
      <c r="A40" s="7">
        <v>16</v>
      </c>
      <c r="B40" s="7">
        <v>14884.242424242424</v>
      </c>
      <c r="C40" s="7">
        <v>-484.24242424242402</v>
      </c>
    </row>
    <row r="41" spans="1:3" x14ac:dyDescent="0.3">
      <c r="A41" s="7">
        <v>17</v>
      </c>
      <c r="B41" s="7">
        <v>14884.242424242424</v>
      </c>
      <c r="C41" s="7">
        <v>15.757575757575978</v>
      </c>
    </row>
    <row r="42" spans="1:3" x14ac:dyDescent="0.3">
      <c r="A42" s="7">
        <v>18</v>
      </c>
      <c r="B42" s="7">
        <v>14884.242424242424</v>
      </c>
      <c r="C42" s="7">
        <v>415.75757575757598</v>
      </c>
    </row>
    <row r="43" spans="1:3" x14ac:dyDescent="0.3">
      <c r="A43" s="7">
        <v>19</v>
      </c>
      <c r="B43" s="7">
        <v>15672.727272727272</v>
      </c>
      <c r="C43" s="7">
        <v>-672.72727272727207</v>
      </c>
    </row>
    <row r="44" spans="1:3" x14ac:dyDescent="0.3">
      <c r="A44" s="7">
        <v>20</v>
      </c>
      <c r="B44" s="7">
        <v>15672.727272727272</v>
      </c>
      <c r="C44" s="7">
        <v>27.272727272727934</v>
      </c>
    </row>
    <row r="45" spans="1:3" x14ac:dyDescent="0.3">
      <c r="A45" s="7">
        <v>21</v>
      </c>
      <c r="B45" s="7">
        <v>15672.727272727272</v>
      </c>
      <c r="C45" s="7">
        <v>727.27272727272793</v>
      </c>
    </row>
    <row r="46" spans="1:3" x14ac:dyDescent="0.3">
      <c r="A46" s="7">
        <v>22</v>
      </c>
      <c r="B46" s="7">
        <v>16461.21212121212</v>
      </c>
      <c r="C46" s="7">
        <v>-561.21212121212011</v>
      </c>
    </row>
    <row r="47" spans="1:3" x14ac:dyDescent="0.3">
      <c r="A47" s="7">
        <v>23</v>
      </c>
      <c r="B47" s="7">
        <v>16461.21212121212</v>
      </c>
      <c r="C47" s="7">
        <v>38.78787878787989</v>
      </c>
    </row>
    <row r="48" spans="1:3" x14ac:dyDescent="0.3">
      <c r="A48" s="7">
        <v>24</v>
      </c>
      <c r="B48" s="7">
        <v>16461.21212121212</v>
      </c>
      <c r="C48" s="7">
        <v>438.78787878787989</v>
      </c>
    </row>
    <row r="49" spans="1:3" x14ac:dyDescent="0.3">
      <c r="A49" s="7">
        <v>25</v>
      </c>
      <c r="B49" s="7">
        <v>17249.696969696968</v>
      </c>
      <c r="C49" s="7">
        <v>-349.69696969696815</v>
      </c>
    </row>
    <row r="50" spans="1:3" x14ac:dyDescent="0.3">
      <c r="A50" s="7">
        <v>26</v>
      </c>
      <c r="B50" s="7">
        <v>17249.696969696968</v>
      </c>
      <c r="C50" s="7">
        <v>250.30303030303185</v>
      </c>
    </row>
    <row r="51" spans="1:3" x14ac:dyDescent="0.3">
      <c r="A51" s="7">
        <v>27</v>
      </c>
      <c r="B51" s="7">
        <v>17249.696969696968</v>
      </c>
      <c r="C51" s="7">
        <v>850.30303030303185</v>
      </c>
    </row>
    <row r="52" spans="1:3" x14ac:dyDescent="0.3">
      <c r="A52" s="7">
        <v>28</v>
      </c>
      <c r="B52" s="7">
        <v>18038.181818181816</v>
      </c>
      <c r="C52" s="7">
        <v>-838.1818181818162</v>
      </c>
    </row>
    <row r="53" spans="1:3" x14ac:dyDescent="0.3">
      <c r="A53" s="7">
        <v>29</v>
      </c>
      <c r="B53" s="7">
        <v>18038.181818181816</v>
      </c>
      <c r="C53" s="7">
        <v>-238.1818181818162</v>
      </c>
    </row>
    <row r="54" spans="1:3" ht="15" thickBot="1" x14ac:dyDescent="0.35">
      <c r="A54" s="8">
        <v>30</v>
      </c>
      <c r="B54" s="8">
        <v>18038.181818181816</v>
      </c>
      <c r="C54" s="8">
        <v>461.8181818181838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6"/>
  <sheetViews>
    <sheetView topLeftCell="E1" zoomScale="101" zoomScaleNormal="100" workbookViewId="0">
      <selection activeCell="Q19" sqref="Q19"/>
    </sheetView>
  </sheetViews>
  <sheetFormatPr defaultRowHeight="14.4" x14ac:dyDescent="0.3"/>
  <cols>
    <col min="2" max="2" width="14.5546875" customWidth="1"/>
    <col min="5" max="5" width="12.33203125" bestFit="1" customWidth="1"/>
    <col min="8" max="10" width="9" bestFit="1" customWidth="1"/>
    <col min="11" max="11" width="12.88671875" bestFit="1" customWidth="1"/>
    <col min="12" max="15" width="9" bestFit="1" customWidth="1"/>
  </cols>
  <sheetData>
    <row r="1" spans="1:12" x14ac:dyDescent="0.3">
      <c r="A1" s="2" t="s">
        <v>55</v>
      </c>
    </row>
    <row r="2" spans="1:12" x14ac:dyDescent="0.3">
      <c r="A2" s="3" t="s">
        <v>62</v>
      </c>
      <c r="B2" s="4" t="s">
        <v>56</v>
      </c>
      <c r="C2" s="4" t="s">
        <v>57</v>
      </c>
      <c r="D2" t="s">
        <v>103</v>
      </c>
      <c r="E2" t="s">
        <v>104</v>
      </c>
    </row>
    <row r="3" spans="1:12" x14ac:dyDescent="0.3">
      <c r="A3" s="5">
        <v>1</v>
      </c>
      <c r="B3" s="5">
        <v>10600</v>
      </c>
      <c r="C3" s="5">
        <v>12000</v>
      </c>
      <c r="D3">
        <f>B3/C3</f>
        <v>0.8833333333333333</v>
      </c>
      <c r="E3">
        <f>1/C3</f>
        <v>8.3333333333333331E-5</v>
      </c>
      <c r="G3" t="s">
        <v>72</v>
      </c>
    </row>
    <row r="4" spans="1:12" ht="15" thickBot="1" x14ac:dyDescent="0.35">
      <c r="A4" s="5">
        <f>A3+1</f>
        <v>2</v>
      </c>
      <c r="B4" s="5">
        <v>10800</v>
      </c>
      <c r="C4" s="5">
        <v>12000</v>
      </c>
      <c r="D4">
        <f t="shared" ref="D4:D32" si="0">B4/C4</f>
        <v>0.9</v>
      </c>
      <c r="E4">
        <f t="shared" ref="E4:E32" si="1">1/C4</f>
        <v>8.3333333333333331E-5</v>
      </c>
    </row>
    <row r="5" spans="1:12" x14ac:dyDescent="0.3">
      <c r="A5" s="5">
        <f t="shared" ref="A5:A32" si="2">A4+1</f>
        <v>3</v>
      </c>
      <c r="B5" s="5">
        <v>11100</v>
      </c>
      <c r="C5" s="5">
        <v>12000</v>
      </c>
      <c r="D5">
        <f t="shared" si="0"/>
        <v>0.92500000000000004</v>
      </c>
      <c r="E5">
        <f t="shared" si="1"/>
        <v>8.3333333333333331E-5</v>
      </c>
      <c r="G5" s="10" t="s">
        <v>73</v>
      </c>
      <c r="H5" s="10"/>
    </row>
    <row r="6" spans="1:12" x14ac:dyDescent="0.3">
      <c r="A6" s="5">
        <f t="shared" si="2"/>
        <v>4</v>
      </c>
      <c r="B6" s="5">
        <v>11400</v>
      </c>
      <c r="C6" s="5">
        <v>13000</v>
      </c>
      <c r="D6">
        <f t="shared" si="0"/>
        <v>0.87692307692307692</v>
      </c>
      <c r="E6">
        <f t="shared" si="1"/>
        <v>7.6923076923076926E-5</v>
      </c>
      <c r="G6" s="7" t="s">
        <v>74</v>
      </c>
      <c r="H6" s="7">
        <v>0.56182187771017955</v>
      </c>
    </row>
    <row r="7" spans="1:12" x14ac:dyDescent="0.3">
      <c r="A7" s="5">
        <f t="shared" si="2"/>
        <v>5</v>
      </c>
      <c r="B7" s="5">
        <v>11700</v>
      </c>
      <c r="C7" s="5">
        <v>13000</v>
      </c>
      <c r="D7">
        <f t="shared" si="0"/>
        <v>0.9</v>
      </c>
      <c r="E7">
        <f t="shared" si="1"/>
        <v>7.6923076923076926E-5</v>
      </c>
      <c r="G7" s="7" t="s">
        <v>75</v>
      </c>
      <c r="H7" s="7">
        <v>0.31564382227379195</v>
      </c>
    </row>
    <row r="8" spans="1:12" x14ac:dyDescent="0.3">
      <c r="A8" s="5">
        <f t="shared" si="2"/>
        <v>6</v>
      </c>
      <c r="B8" s="5">
        <v>12100</v>
      </c>
      <c r="C8" s="5">
        <v>13000</v>
      </c>
      <c r="D8">
        <f t="shared" si="0"/>
        <v>0.93076923076923079</v>
      </c>
      <c r="E8">
        <f t="shared" si="1"/>
        <v>7.6923076923076926E-5</v>
      </c>
      <c r="G8" s="7" t="s">
        <v>76</v>
      </c>
      <c r="H8" s="7">
        <v>0.29120253021214165</v>
      </c>
    </row>
    <row r="9" spans="1:12" x14ac:dyDescent="0.3">
      <c r="A9" s="5">
        <f t="shared" si="2"/>
        <v>7</v>
      </c>
      <c r="B9" s="5">
        <v>12300</v>
      </c>
      <c r="C9" s="5">
        <v>14000</v>
      </c>
      <c r="D9">
        <f t="shared" si="0"/>
        <v>0.87857142857142856</v>
      </c>
      <c r="E9">
        <f t="shared" si="1"/>
        <v>7.1428571428571434E-5</v>
      </c>
      <c r="G9" s="7" t="s">
        <v>77</v>
      </c>
      <c r="H9" s="7">
        <v>2.4469019649090127E-2</v>
      </c>
    </row>
    <row r="10" spans="1:12" ht="15" thickBot="1" x14ac:dyDescent="0.35">
      <c r="A10" s="5">
        <f t="shared" si="2"/>
        <v>8</v>
      </c>
      <c r="B10" s="5">
        <v>12600</v>
      </c>
      <c r="C10" s="5">
        <v>14000</v>
      </c>
      <c r="D10">
        <f t="shared" si="0"/>
        <v>0.9</v>
      </c>
      <c r="E10">
        <f t="shared" si="1"/>
        <v>7.1428571428571434E-5</v>
      </c>
      <c r="G10" s="8" t="s">
        <v>78</v>
      </c>
      <c r="H10" s="8">
        <v>30</v>
      </c>
    </row>
    <row r="11" spans="1:12" x14ac:dyDescent="0.3">
      <c r="A11" s="5">
        <f t="shared" si="2"/>
        <v>9</v>
      </c>
      <c r="B11" s="5">
        <v>13200</v>
      </c>
      <c r="C11" s="5">
        <v>14000</v>
      </c>
      <c r="D11">
        <f t="shared" si="0"/>
        <v>0.94285714285714284</v>
      </c>
      <c r="E11">
        <f t="shared" si="1"/>
        <v>7.1428571428571434E-5</v>
      </c>
    </row>
    <row r="12" spans="1:12" ht="15" thickBot="1" x14ac:dyDescent="0.35">
      <c r="A12" s="5">
        <f t="shared" si="2"/>
        <v>10</v>
      </c>
      <c r="B12" s="5">
        <v>13000</v>
      </c>
      <c r="C12" s="5">
        <v>15000</v>
      </c>
      <c r="D12">
        <f t="shared" si="0"/>
        <v>0.8666666666666667</v>
      </c>
      <c r="E12">
        <f t="shared" si="1"/>
        <v>6.666666666666667E-5</v>
      </c>
      <c r="G12" t="s">
        <v>79</v>
      </c>
    </row>
    <row r="13" spans="1:12" x14ac:dyDescent="0.3">
      <c r="A13" s="5">
        <f t="shared" si="2"/>
        <v>11</v>
      </c>
      <c r="B13" s="5">
        <v>13300</v>
      </c>
      <c r="C13" s="5">
        <v>15000</v>
      </c>
      <c r="D13">
        <f t="shared" si="0"/>
        <v>0.88666666666666671</v>
      </c>
      <c r="E13">
        <f t="shared" si="1"/>
        <v>6.666666666666667E-5</v>
      </c>
      <c r="G13" s="9"/>
      <c r="H13" s="9" t="s">
        <v>84</v>
      </c>
      <c r="I13" s="9" t="s">
        <v>85</v>
      </c>
      <c r="J13" s="9" t="s">
        <v>86</v>
      </c>
      <c r="K13" s="9" t="s">
        <v>87</v>
      </c>
      <c r="L13" s="9" t="s">
        <v>88</v>
      </c>
    </row>
    <row r="14" spans="1:12" x14ac:dyDescent="0.3">
      <c r="A14" s="5">
        <f t="shared" si="2"/>
        <v>12</v>
      </c>
      <c r="B14" s="5">
        <v>13600</v>
      </c>
      <c r="C14" s="5">
        <v>15000</v>
      </c>
      <c r="D14">
        <f t="shared" si="0"/>
        <v>0.90666666666666662</v>
      </c>
      <c r="E14">
        <f t="shared" si="1"/>
        <v>6.666666666666667E-5</v>
      </c>
      <c r="G14" s="7" t="s">
        <v>80</v>
      </c>
      <c r="H14" s="7">
        <v>1</v>
      </c>
      <c r="I14" s="7">
        <v>7.7322568598255578E-3</v>
      </c>
      <c r="J14" s="7">
        <v>7.7322568598255578E-3</v>
      </c>
      <c r="K14" s="7">
        <v>12.91436727148538</v>
      </c>
      <c r="L14" s="7">
        <v>1.2346142043820469E-3</v>
      </c>
    </row>
    <row r="15" spans="1:12" x14ac:dyDescent="0.3">
      <c r="A15" s="5">
        <f t="shared" si="2"/>
        <v>13</v>
      </c>
      <c r="B15" s="5">
        <v>13800</v>
      </c>
      <c r="C15" s="5">
        <v>16000</v>
      </c>
      <c r="D15">
        <f t="shared" si="0"/>
        <v>0.86250000000000004</v>
      </c>
      <c r="E15">
        <f t="shared" si="1"/>
        <v>6.2500000000000001E-5</v>
      </c>
      <c r="G15" s="7" t="s">
        <v>81</v>
      </c>
      <c r="H15" s="7">
        <v>28</v>
      </c>
      <c r="I15" s="7">
        <v>1.6764521832451643E-2</v>
      </c>
      <c r="J15" s="7">
        <v>5.9873292258755869E-4</v>
      </c>
      <c r="K15" s="7"/>
      <c r="L15" s="7"/>
    </row>
    <row r="16" spans="1:12" ht="15" thickBot="1" x14ac:dyDescent="0.35">
      <c r="A16" s="5">
        <f t="shared" si="2"/>
        <v>14</v>
      </c>
      <c r="B16" s="5">
        <v>14000</v>
      </c>
      <c r="C16" s="5">
        <v>16000</v>
      </c>
      <c r="D16">
        <f t="shared" si="0"/>
        <v>0.875</v>
      </c>
      <c r="E16">
        <f t="shared" si="1"/>
        <v>6.2500000000000001E-5</v>
      </c>
      <c r="G16" s="8" t="s">
        <v>82</v>
      </c>
      <c r="H16" s="8">
        <v>29</v>
      </c>
      <c r="I16" s="8">
        <v>2.4496778692277201E-2</v>
      </c>
      <c r="J16" s="8"/>
      <c r="K16" s="8"/>
      <c r="L16" s="8"/>
    </row>
    <row r="17" spans="1:18" ht="15" thickBot="1" x14ac:dyDescent="0.35">
      <c r="A17" s="5">
        <f t="shared" si="2"/>
        <v>15</v>
      </c>
      <c r="B17" s="5">
        <v>14200</v>
      </c>
      <c r="C17" s="5">
        <v>16000</v>
      </c>
      <c r="D17">
        <f t="shared" si="0"/>
        <v>0.88749999999999996</v>
      </c>
      <c r="E17">
        <f t="shared" si="1"/>
        <v>6.2500000000000001E-5</v>
      </c>
    </row>
    <row r="18" spans="1:18" x14ac:dyDescent="0.3">
      <c r="A18" s="5">
        <f t="shared" si="2"/>
        <v>16</v>
      </c>
      <c r="B18" s="5">
        <v>14400</v>
      </c>
      <c r="C18" s="5">
        <v>17000</v>
      </c>
      <c r="D18">
        <f t="shared" si="0"/>
        <v>0.84705882352941175</v>
      </c>
      <c r="E18">
        <f t="shared" si="1"/>
        <v>5.8823529411764708E-5</v>
      </c>
      <c r="G18" s="9"/>
      <c r="H18" s="9" t="s">
        <v>89</v>
      </c>
      <c r="I18" s="9" t="s">
        <v>77</v>
      </c>
      <c r="J18" s="9" t="s">
        <v>90</v>
      </c>
      <c r="K18" s="9" t="s">
        <v>91</v>
      </c>
      <c r="L18" s="9" t="s">
        <v>92</v>
      </c>
      <c r="M18" s="9" t="s">
        <v>93</v>
      </c>
      <c r="N18" s="9" t="s">
        <v>94</v>
      </c>
      <c r="O18" s="9" t="s">
        <v>95</v>
      </c>
      <c r="R18" s="12" t="s">
        <v>105</v>
      </c>
    </row>
    <row r="19" spans="1:18" x14ac:dyDescent="0.3">
      <c r="A19" s="5">
        <f t="shared" si="2"/>
        <v>17</v>
      </c>
      <c r="B19" s="5">
        <v>14900</v>
      </c>
      <c r="C19" s="5">
        <v>17000</v>
      </c>
      <c r="D19">
        <f t="shared" si="0"/>
        <v>0.87647058823529411</v>
      </c>
      <c r="E19">
        <f t="shared" si="1"/>
        <v>5.8823529411764708E-5</v>
      </c>
      <c r="G19" s="7" t="s">
        <v>83</v>
      </c>
      <c r="H19" s="7">
        <v>0.79210192257760315</v>
      </c>
      <c r="I19" s="7">
        <v>2.5137710562526099E-2</v>
      </c>
      <c r="J19" s="7">
        <v>31.510503735309317</v>
      </c>
      <c r="K19" s="7">
        <v>2.0629689955808839E-23</v>
      </c>
      <c r="L19" s="7">
        <v>0.74060965673294299</v>
      </c>
      <c r="M19" s="7">
        <v>0.8435941884222633</v>
      </c>
      <c r="N19" s="7">
        <v>0.74060965673294299</v>
      </c>
      <c r="O19" s="7">
        <v>0.8435941884222633</v>
      </c>
    </row>
    <row r="20" spans="1:18" ht="15" thickBot="1" x14ac:dyDescent="0.35">
      <c r="A20" s="5">
        <f t="shared" si="2"/>
        <v>18</v>
      </c>
      <c r="B20" s="5">
        <v>15300</v>
      </c>
      <c r="C20" s="5">
        <v>17000</v>
      </c>
      <c r="D20">
        <f t="shared" si="0"/>
        <v>0.9</v>
      </c>
      <c r="E20">
        <f t="shared" si="1"/>
        <v>5.8823529411764708E-5</v>
      </c>
      <c r="G20" s="8" t="s">
        <v>96</v>
      </c>
      <c r="H20" s="8">
        <v>1421.2779012154217</v>
      </c>
      <c r="I20" s="8">
        <v>395.49631092372033</v>
      </c>
      <c r="J20" s="8">
        <v>3.5936565322085765</v>
      </c>
      <c r="K20" s="8">
        <v>1.2346142043820505E-3</v>
      </c>
      <c r="L20" s="8">
        <v>611.14043336560042</v>
      </c>
      <c r="M20" s="8">
        <v>2231.4153690652429</v>
      </c>
      <c r="N20" s="8">
        <v>611.14043336560042</v>
      </c>
      <c r="O20" s="8">
        <v>2231.4153690652429</v>
      </c>
    </row>
    <row r="21" spans="1:18" x14ac:dyDescent="0.3">
      <c r="A21" s="5">
        <f t="shared" si="2"/>
        <v>19</v>
      </c>
      <c r="B21" s="5">
        <v>15000</v>
      </c>
      <c r="C21" s="5">
        <v>18000</v>
      </c>
      <c r="D21">
        <f t="shared" si="0"/>
        <v>0.83333333333333337</v>
      </c>
      <c r="E21">
        <f t="shared" si="1"/>
        <v>5.5555555555555558E-5</v>
      </c>
    </row>
    <row r="22" spans="1:18" x14ac:dyDescent="0.3">
      <c r="A22" s="5">
        <f t="shared" si="2"/>
        <v>20</v>
      </c>
      <c r="B22" s="5">
        <v>15700</v>
      </c>
      <c r="C22" s="5">
        <v>18000</v>
      </c>
      <c r="D22">
        <f t="shared" si="0"/>
        <v>0.87222222222222223</v>
      </c>
      <c r="E22">
        <f t="shared" si="1"/>
        <v>5.5555555555555558E-5</v>
      </c>
    </row>
    <row r="23" spans="1:18" x14ac:dyDescent="0.3">
      <c r="A23" s="5">
        <f t="shared" si="2"/>
        <v>21</v>
      </c>
      <c r="B23" s="5">
        <v>16400</v>
      </c>
      <c r="C23" s="5">
        <v>18000</v>
      </c>
      <c r="D23">
        <f t="shared" si="0"/>
        <v>0.91111111111111109</v>
      </c>
      <c r="E23">
        <f t="shared" si="1"/>
        <v>5.5555555555555558E-5</v>
      </c>
    </row>
    <row r="24" spans="1:18" x14ac:dyDescent="0.3">
      <c r="A24" s="5">
        <f t="shared" si="2"/>
        <v>22</v>
      </c>
      <c r="B24" s="5">
        <v>15900</v>
      </c>
      <c r="C24" s="5">
        <v>19000</v>
      </c>
      <c r="D24">
        <f t="shared" si="0"/>
        <v>0.83684210526315794</v>
      </c>
      <c r="E24">
        <f t="shared" si="1"/>
        <v>5.2631578947368424E-5</v>
      </c>
      <c r="G24" t="s">
        <v>97</v>
      </c>
    </row>
    <row r="25" spans="1:18" ht="15" thickBot="1" x14ac:dyDescent="0.35">
      <c r="A25" s="5">
        <f t="shared" si="2"/>
        <v>23</v>
      </c>
      <c r="B25" s="5">
        <v>16500</v>
      </c>
      <c r="C25" s="5">
        <v>19000</v>
      </c>
      <c r="D25">
        <f t="shared" si="0"/>
        <v>0.86842105263157898</v>
      </c>
      <c r="E25">
        <f t="shared" si="1"/>
        <v>5.2631578947368424E-5</v>
      </c>
    </row>
    <row r="26" spans="1:18" x14ac:dyDescent="0.3">
      <c r="A26" s="5">
        <f t="shared" si="2"/>
        <v>24</v>
      </c>
      <c r="B26" s="5">
        <v>16900</v>
      </c>
      <c r="C26" s="5">
        <v>19000</v>
      </c>
      <c r="D26">
        <f t="shared" si="0"/>
        <v>0.88947368421052631</v>
      </c>
      <c r="E26">
        <f t="shared" si="1"/>
        <v>5.2631578947368424E-5</v>
      </c>
      <c r="G26" s="9" t="s">
        <v>98</v>
      </c>
      <c r="H26" s="9" t="s">
        <v>99</v>
      </c>
      <c r="I26" s="9" t="s">
        <v>100</v>
      </c>
    </row>
    <row r="27" spans="1:18" x14ac:dyDescent="0.3">
      <c r="A27" s="5">
        <f t="shared" si="2"/>
        <v>25</v>
      </c>
      <c r="B27" s="5">
        <v>16900</v>
      </c>
      <c r="C27" s="5">
        <v>20000</v>
      </c>
      <c r="D27">
        <f t="shared" si="0"/>
        <v>0.84499999999999997</v>
      </c>
      <c r="E27">
        <f t="shared" si="1"/>
        <v>5.0000000000000002E-5</v>
      </c>
      <c r="G27" s="7">
        <v>1</v>
      </c>
      <c r="H27" s="7">
        <v>0.91054174767888829</v>
      </c>
      <c r="I27" s="7">
        <v>-2.7208414345554988E-2</v>
      </c>
    </row>
    <row r="28" spans="1:18" x14ac:dyDescent="0.3">
      <c r="A28" s="5">
        <f t="shared" si="2"/>
        <v>26</v>
      </c>
      <c r="B28" s="5">
        <v>17500</v>
      </c>
      <c r="C28" s="5">
        <v>20000</v>
      </c>
      <c r="D28">
        <f t="shared" si="0"/>
        <v>0.875</v>
      </c>
      <c r="E28">
        <f t="shared" si="1"/>
        <v>5.0000000000000002E-5</v>
      </c>
      <c r="G28" s="7">
        <v>2</v>
      </c>
      <c r="H28" s="7">
        <v>0.91054174767888829</v>
      </c>
      <c r="I28" s="7">
        <v>-1.0541747678888269E-2</v>
      </c>
    </row>
    <row r="29" spans="1:18" x14ac:dyDescent="0.3">
      <c r="A29" s="5">
        <f t="shared" si="2"/>
        <v>27</v>
      </c>
      <c r="B29" s="5">
        <v>18100</v>
      </c>
      <c r="C29" s="5">
        <v>20000</v>
      </c>
      <c r="D29">
        <f t="shared" si="0"/>
        <v>0.90500000000000003</v>
      </c>
      <c r="E29">
        <f t="shared" si="1"/>
        <v>5.0000000000000002E-5</v>
      </c>
      <c r="G29" s="7">
        <v>3</v>
      </c>
      <c r="H29" s="7">
        <v>0.91054174767888829</v>
      </c>
      <c r="I29" s="7">
        <v>1.4458252321111753E-2</v>
      </c>
    </row>
    <row r="30" spans="1:18" x14ac:dyDescent="0.3">
      <c r="A30" s="5">
        <f t="shared" si="2"/>
        <v>28</v>
      </c>
      <c r="B30" s="5">
        <v>17200</v>
      </c>
      <c r="C30" s="5">
        <v>21000</v>
      </c>
      <c r="D30">
        <f t="shared" si="0"/>
        <v>0.81904761904761902</v>
      </c>
      <c r="E30">
        <f t="shared" si="1"/>
        <v>4.761904761904762E-5</v>
      </c>
      <c r="G30" s="7">
        <v>4</v>
      </c>
      <c r="H30" s="7">
        <v>0.90143099190186637</v>
      </c>
      <c r="I30" s="7">
        <v>-2.4507914978789458E-2</v>
      </c>
    </row>
    <row r="31" spans="1:18" x14ac:dyDescent="0.3">
      <c r="A31" s="5">
        <f t="shared" si="2"/>
        <v>29</v>
      </c>
      <c r="B31" s="5">
        <v>17800</v>
      </c>
      <c r="C31" s="5">
        <v>21000</v>
      </c>
      <c r="D31">
        <f t="shared" si="0"/>
        <v>0.84761904761904761</v>
      </c>
      <c r="E31">
        <f t="shared" si="1"/>
        <v>4.761904761904762E-5</v>
      </c>
      <c r="G31" s="7">
        <v>5</v>
      </c>
      <c r="H31" s="7">
        <v>0.90143099190186637</v>
      </c>
      <c r="I31" s="7">
        <v>-1.4309919018663519E-3</v>
      </c>
    </row>
    <row r="32" spans="1:18" x14ac:dyDescent="0.3">
      <c r="A32" s="5">
        <f t="shared" si="2"/>
        <v>30</v>
      </c>
      <c r="B32" s="5">
        <v>18500</v>
      </c>
      <c r="C32" s="5">
        <v>21000</v>
      </c>
      <c r="D32">
        <f t="shared" si="0"/>
        <v>0.88095238095238093</v>
      </c>
      <c r="E32">
        <f t="shared" si="1"/>
        <v>4.761904761904762E-5</v>
      </c>
      <c r="G32" s="7">
        <v>6</v>
      </c>
      <c r="H32" s="7">
        <v>0.90143099190186637</v>
      </c>
      <c r="I32" s="7">
        <v>2.9338238867364419E-2</v>
      </c>
    </row>
    <row r="33" spans="7:9" x14ac:dyDescent="0.3">
      <c r="G33" s="7">
        <v>7</v>
      </c>
      <c r="H33" s="7">
        <v>0.893621772664419</v>
      </c>
      <c r="I33" s="7">
        <v>-1.5050344092990442E-2</v>
      </c>
    </row>
    <row r="34" spans="7:9" x14ac:dyDescent="0.3">
      <c r="G34" s="7">
        <v>8</v>
      </c>
      <c r="H34" s="7">
        <v>0.893621772664419</v>
      </c>
      <c r="I34" s="7">
        <v>6.3782273355810215E-3</v>
      </c>
    </row>
    <row r="35" spans="7:9" x14ac:dyDescent="0.3">
      <c r="G35" s="7">
        <v>9</v>
      </c>
      <c r="H35" s="7">
        <v>0.893621772664419</v>
      </c>
      <c r="I35" s="7">
        <v>4.9235370192723837E-2</v>
      </c>
    </row>
    <row r="36" spans="7:9" x14ac:dyDescent="0.3">
      <c r="G36" s="7">
        <v>10</v>
      </c>
      <c r="H36" s="7">
        <v>0.88685378265863124</v>
      </c>
      <c r="I36" s="7">
        <v>-2.0187115991964544E-2</v>
      </c>
    </row>
    <row r="37" spans="7:9" x14ac:dyDescent="0.3">
      <c r="G37" s="7">
        <v>11</v>
      </c>
      <c r="H37" s="7">
        <v>0.88685378265863124</v>
      </c>
      <c r="I37" s="7">
        <v>-1.87115991964526E-4</v>
      </c>
    </row>
    <row r="38" spans="7:9" x14ac:dyDescent="0.3">
      <c r="G38" s="7">
        <v>12</v>
      </c>
      <c r="H38" s="7">
        <v>0.88685378265863124</v>
      </c>
      <c r="I38" s="7">
        <v>1.9812884008035381E-2</v>
      </c>
    </row>
    <row r="39" spans="7:9" x14ac:dyDescent="0.3">
      <c r="G39" s="7">
        <v>13</v>
      </c>
      <c r="H39" s="7">
        <v>0.88093179140356703</v>
      </c>
      <c r="I39" s="7">
        <v>-1.8431791403566988E-2</v>
      </c>
    </row>
    <row r="40" spans="7:9" x14ac:dyDescent="0.3">
      <c r="G40" s="7">
        <v>14</v>
      </c>
      <c r="H40" s="7">
        <v>0.88093179140356703</v>
      </c>
      <c r="I40" s="7">
        <v>-5.9317914035670327E-3</v>
      </c>
    </row>
    <row r="41" spans="7:9" x14ac:dyDescent="0.3">
      <c r="G41" s="7">
        <v>15</v>
      </c>
      <c r="H41" s="7">
        <v>0.88093179140356703</v>
      </c>
      <c r="I41" s="7">
        <v>6.5682085964329229E-3</v>
      </c>
    </row>
    <row r="42" spans="7:9" x14ac:dyDescent="0.3">
      <c r="G42" s="7">
        <v>16</v>
      </c>
      <c r="H42" s="7">
        <v>0.87570650500203973</v>
      </c>
      <c r="I42" s="7">
        <v>-2.8647681472627973E-2</v>
      </c>
    </row>
    <row r="43" spans="7:9" x14ac:dyDescent="0.3">
      <c r="G43" s="7">
        <v>17</v>
      </c>
      <c r="H43" s="7">
        <v>0.87570650500203973</v>
      </c>
      <c r="I43" s="7">
        <v>7.6408323325438676E-4</v>
      </c>
    </row>
    <row r="44" spans="7:9" x14ac:dyDescent="0.3">
      <c r="G44" s="7">
        <v>18</v>
      </c>
      <c r="H44" s="7">
        <v>0.87570650500203973</v>
      </c>
      <c r="I44" s="7">
        <v>2.4293494997960297E-2</v>
      </c>
    </row>
    <row r="45" spans="7:9" x14ac:dyDescent="0.3">
      <c r="G45" s="7">
        <v>19</v>
      </c>
      <c r="H45" s="7">
        <v>0.87106180597845995</v>
      </c>
      <c r="I45" s="7">
        <v>-3.7728472645126576E-2</v>
      </c>
    </row>
    <row r="46" spans="7:9" x14ac:dyDescent="0.3">
      <c r="G46" s="7">
        <v>20</v>
      </c>
      <c r="H46" s="7">
        <v>0.87106180597845995</v>
      </c>
      <c r="I46" s="7">
        <v>1.1604162437622856E-3</v>
      </c>
    </row>
    <row r="47" spans="7:9" x14ac:dyDescent="0.3">
      <c r="G47" s="7">
        <v>21</v>
      </c>
      <c r="H47" s="7">
        <v>0.87106180597845995</v>
      </c>
      <c r="I47" s="7">
        <v>4.0049305132651147E-2</v>
      </c>
    </row>
    <row r="48" spans="7:9" x14ac:dyDescent="0.3">
      <c r="G48" s="7">
        <v>22</v>
      </c>
      <c r="H48" s="7">
        <v>0.86690602264157268</v>
      </c>
      <c r="I48" s="7">
        <v>-3.006391737841474E-2</v>
      </c>
    </row>
    <row r="49" spans="7:9" x14ac:dyDescent="0.3">
      <c r="G49" s="7">
        <v>23</v>
      </c>
      <c r="H49" s="7">
        <v>0.86690602264157268</v>
      </c>
      <c r="I49" s="7">
        <v>1.5150299900063002E-3</v>
      </c>
    </row>
    <row r="50" spans="7:9" x14ac:dyDescent="0.3">
      <c r="G50" s="7">
        <v>24</v>
      </c>
      <c r="H50" s="7">
        <v>0.86690602264157268</v>
      </c>
      <c r="I50" s="7">
        <v>2.2567661568953623E-2</v>
      </c>
    </row>
    <row r="51" spans="7:9" x14ac:dyDescent="0.3">
      <c r="G51" s="7">
        <v>25</v>
      </c>
      <c r="H51" s="7">
        <v>0.86316581763837419</v>
      </c>
      <c r="I51" s="7">
        <v>-1.8165817638374215E-2</v>
      </c>
    </row>
    <row r="52" spans="7:9" x14ac:dyDescent="0.3">
      <c r="G52" s="7">
        <v>26</v>
      </c>
      <c r="H52" s="7">
        <v>0.86316581763837419</v>
      </c>
      <c r="I52" s="7">
        <v>1.1834182361625811E-2</v>
      </c>
    </row>
    <row r="53" spans="7:9" x14ac:dyDescent="0.3">
      <c r="G53" s="7">
        <v>27</v>
      </c>
      <c r="H53" s="7">
        <v>0.86316581763837419</v>
      </c>
      <c r="I53" s="7">
        <v>4.1834182361625838E-2</v>
      </c>
    </row>
    <row r="54" spans="7:9" x14ac:dyDescent="0.3">
      <c r="G54" s="7">
        <v>28</v>
      </c>
      <c r="H54" s="7">
        <v>0.85978182263548042</v>
      </c>
      <c r="I54" s="7">
        <v>-4.0734203587861395E-2</v>
      </c>
    </row>
    <row r="55" spans="7:9" x14ac:dyDescent="0.3">
      <c r="G55" s="7">
        <v>29</v>
      </c>
      <c r="H55" s="7">
        <v>0.85978182263548042</v>
      </c>
      <c r="I55" s="7">
        <v>-1.2162775016432814E-2</v>
      </c>
    </row>
    <row r="56" spans="7:9" ht="15" thickBot="1" x14ac:dyDescent="0.35">
      <c r="G56" s="8">
        <v>30</v>
      </c>
      <c r="H56" s="8">
        <v>0.85978182263548042</v>
      </c>
      <c r="I56" s="8">
        <v>2.1170558316900512E-2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zoomScaleNormal="100" workbookViewId="0"/>
  </sheetViews>
  <sheetFormatPr defaultRowHeight="14.4" x14ac:dyDescent="0.3"/>
  <cols>
    <col min="2" max="2" width="10.109375" customWidth="1"/>
    <col min="3" max="3" width="11.5546875" customWidth="1"/>
  </cols>
  <sheetData>
    <row r="1" spans="1:3" x14ac:dyDescent="0.3">
      <c r="A1" s="3" t="s">
        <v>59</v>
      </c>
      <c r="B1" s="3" t="s">
        <v>61</v>
      </c>
      <c r="C1" s="3" t="s">
        <v>60</v>
      </c>
    </row>
    <row r="2" spans="1:3" x14ac:dyDescent="0.3">
      <c r="A2" s="5">
        <v>1</v>
      </c>
      <c r="B2" s="5">
        <v>264</v>
      </c>
      <c r="C2" s="5">
        <v>8777</v>
      </c>
    </row>
    <row r="3" spans="1:3" x14ac:dyDescent="0.3">
      <c r="A3" s="5">
        <v>2</v>
      </c>
      <c r="B3" s="5">
        <v>105</v>
      </c>
      <c r="C3" s="5">
        <v>9210</v>
      </c>
    </row>
    <row r="4" spans="1:3" x14ac:dyDescent="0.3">
      <c r="A4" s="5">
        <v>3</v>
      </c>
      <c r="B4" s="5">
        <v>90</v>
      </c>
      <c r="C4" s="5">
        <v>9954</v>
      </c>
    </row>
    <row r="5" spans="1:3" x14ac:dyDescent="0.3">
      <c r="A5" s="5">
        <v>4</v>
      </c>
      <c r="B5" s="5">
        <v>131</v>
      </c>
      <c r="C5" s="5">
        <v>10508</v>
      </c>
    </row>
    <row r="6" spans="1:3" x14ac:dyDescent="0.3">
      <c r="A6" s="5">
        <v>5</v>
      </c>
      <c r="B6" s="5">
        <v>122</v>
      </c>
      <c r="C6" s="5">
        <v>10979</v>
      </c>
    </row>
    <row r="7" spans="1:3" x14ac:dyDescent="0.3">
      <c r="A7" s="5">
        <v>6</v>
      </c>
      <c r="B7" s="5">
        <v>107</v>
      </c>
      <c r="C7" s="5">
        <v>11912</v>
      </c>
    </row>
    <row r="8" spans="1:3" x14ac:dyDescent="0.3">
      <c r="A8" s="5">
        <v>7</v>
      </c>
      <c r="B8" s="5">
        <v>406</v>
      </c>
      <c r="C8" s="5">
        <v>12747</v>
      </c>
    </row>
    <row r="9" spans="1:3" x14ac:dyDescent="0.3">
      <c r="A9" s="5">
        <v>8</v>
      </c>
      <c r="B9" s="5">
        <v>503</v>
      </c>
      <c r="C9" s="5">
        <v>13499</v>
      </c>
    </row>
    <row r="10" spans="1:3" x14ac:dyDescent="0.3">
      <c r="A10" s="5">
        <v>9</v>
      </c>
      <c r="B10" s="5">
        <v>431</v>
      </c>
      <c r="C10" s="5">
        <v>14269</v>
      </c>
    </row>
    <row r="11" spans="1:3" x14ac:dyDescent="0.3">
      <c r="A11" s="5">
        <v>10</v>
      </c>
      <c r="B11" s="5">
        <v>588</v>
      </c>
      <c r="C11" s="5">
        <v>15522</v>
      </c>
    </row>
    <row r="12" spans="1:3" x14ac:dyDescent="0.3">
      <c r="A12" s="5">
        <v>11</v>
      </c>
      <c r="B12" s="5">
        <v>898</v>
      </c>
      <c r="C12" s="5">
        <v>16730</v>
      </c>
    </row>
    <row r="13" spans="1:3" x14ac:dyDescent="0.3">
      <c r="A13" s="5">
        <v>12</v>
      </c>
      <c r="B13" s="5">
        <v>950</v>
      </c>
      <c r="C13" s="5">
        <v>17663</v>
      </c>
    </row>
    <row r="14" spans="1:3" x14ac:dyDescent="0.3">
      <c r="A14" s="5">
        <v>13</v>
      </c>
      <c r="B14" s="5">
        <v>779</v>
      </c>
      <c r="C14" s="5">
        <v>18575</v>
      </c>
    </row>
    <row r="15" spans="1:3" x14ac:dyDescent="0.3">
      <c r="A15" s="5">
        <v>14</v>
      </c>
      <c r="B15" s="5">
        <v>819</v>
      </c>
      <c r="C15" s="5">
        <v>19635</v>
      </c>
    </row>
    <row r="16" spans="1:3" x14ac:dyDescent="0.3">
      <c r="A16" s="5">
        <v>15</v>
      </c>
      <c r="B16" s="5">
        <v>1222</v>
      </c>
      <c r="C16" s="5">
        <v>21163</v>
      </c>
    </row>
    <row r="17" spans="1:3" x14ac:dyDescent="0.3">
      <c r="A17" s="5">
        <v>16</v>
      </c>
      <c r="B17" s="5">
        <v>1702</v>
      </c>
      <c r="C17" s="5">
        <v>22880</v>
      </c>
    </row>
    <row r="18" spans="1:3" x14ac:dyDescent="0.3">
      <c r="A18" s="5">
        <v>17</v>
      </c>
      <c r="B18" s="5">
        <v>1578</v>
      </c>
      <c r="C18" s="5">
        <v>24127</v>
      </c>
    </row>
    <row r="19" spans="1:3" x14ac:dyDescent="0.3">
      <c r="A19" s="5">
        <v>18</v>
      </c>
      <c r="B19" s="5">
        <v>1654</v>
      </c>
      <c r="C19" s="5">
        <v>25604</v>
      </c>
    </row>
    <row r="20" spans="1:3" x14ac:dyDescent="0.3">
      <c r="A20" s="5">
        <v>19</v>
      </c>
      <c r="B20" s="5">
        <v>1400</v>
      </c>
      <c r="C20" s="5">
        <v>26500</v>
      </c>
    </row>
    <row r="21" spans="1:3" x14ac:dyDescent="0.3">
      <c r="A21" s="5">
        <v>20</v>
      </c>
      <c r="B21" s="5">
        <v>1829</v>
      </c>
      <c r="C21" s="5">
        <v>27670</v>
      </c>
    </row>
    <row r="22" spans="1:3" x14ac:dyDescent="0.3">
      <c r="A22" s="5">
        <v>21</v>
      </c>
      <c r="B22" s="5">
        <v>2200</v>
      </c>
      <c r="C22" s="5">
        <v>28300</v>
      </c>
    </row>
    <row r="23" spans="1:3" x14ac:dyDescent="0.3">
      <c r="A23" s="5">
        <v>22</v>
      </c>
      <c r="B23" s="5">
        <v>2017</v>
      </c>
      <c r="C23" s="5">
        <v>27430</v>
      </c>
    </row>
    <row r="24" spans="1:3" x14ac:dyDescent="0.3">
      <c r="A24" s="5">
        <v>23</v>
      </c>
      <c r="B24" s="5">
        <v>2105</v>
      </c>
      <c r="C24" s="5">
        <v>29560</v>
      </c>
    </row>
    <row r="25" spans="1:3" x14ac:dyDescent="0.3">
      <c r="A25" s="5">
        <v>24</v>
      </c>
      <c r="B25" s="5">
        <v>1600</v>
      </c>
      <c r="C25" s="5">
        <v>28150</v>
      </c>
    </row>
    <row r="26" spans="1:3" x14ac:dyDescent="0.3">
      <c r="A26" s="5">
        <v>25</v>
      </c>
      <c r="B26" s="5">
        <v>2250</v>
      </c>
      <c r="C26" s="5">
        <v>32100</v>
      </c>
    </row>
    <row r="27" spans="1:3" x14ac:dyDescent="0.3">
      <c r="A27" s="5">
        <v>26</v>
      </c>
      <c r="B27" s="5">
        <v>2420</v>
      </c>
      <c r="C27" s="5">
        <v>32500</v>
      </c>
    </row>
    <row r="28" spans="1:3" x14ac:dyDescent="0.3">
      <c r="A28" s="5">
        <v>27</v>
      </c>
      <c r="B28" s="5">
        <v>2570</v>
      </c>
      <c r="C28" s="5">
        <v>35250</v>
      </c>
    </row>
    <row r="29" spans="1:3" x14ac:dyDescent="0.3">
      <c r="A29" s="5">
        <v>28</v>
      </c>
      <c r="B29" s="5">
        <v>1720</v>
      </c>
      <c r="C29" s="5">
        <v>33500</v>
      </c>
    </row>
    <row r="30" spans="1:3" x14ac:dyDescent="0.3">
      <c r="A30" s="5">
        <v>29</v>
      </c>
      <c r="B30" s="5">
        <v>1900</v>
      </c>
      <c r="C30" s="5">
        <v>36000</v>
      </c>
    </row>
    <row r="31" spans="1:3" x14ac:dyDescent="0.3">
      <c r="A31" s="5">
        <v>30</v>
      </c>
      <c r="B31" s="5">
        <v>2100</v>
      </c>
      <c r="C31" s="5">
        <v>36200</v>
      </c>
    </row>
    <row r="32" spans="1:3" x14ac:dyDescent="0.3">
      <c r="A32" s="5">
        <v>31</v>
      </c>
      <c r="B32" s="5">
        <v>2300</v>
      </c>
      <c r="C32" s="5">
        <v>38200</v>
      </c>
    </row>
  </sheetData>
  <sortState xmlns:xlrd2="http://schemas.microsoft.com/office/spreadsheetml/2017/richdata2" ref="A53:C83">
    <sortCondition ref="C53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Eg 1</vt:lpstr>
      <vt:lpstr>Sheet5</vt:lpstr>
      <vt:lpstr>Sheet1</vt:lpstr>
      <vt:lpstr>Sheet3</vt:lpstr>
      <vt:lpstr>Sheet2</vt:lpstr>
      <vt:lpstr>194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2025-01-16T09:33:21Z</dcterms:modified>
</cp:coreProperties>
</file>